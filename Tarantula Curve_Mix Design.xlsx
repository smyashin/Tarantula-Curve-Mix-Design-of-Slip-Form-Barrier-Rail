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drawings/drawing15.xml" ContentType="application/vnd.openxmlformats-officedocument.drawingml.chartshapes+xml"/>
  <Override PartName="/xl/charts/chart14.xml" ContentType="application/vnd.openxmlformats-officedocument.drawingml.chart+xml"/>
  <Override PartName="/xl/drawings/drawing16.xml" ContentType="application/vnd.openxmlformats-officedocument.drawingml.chartshapes+xml"/>
  <Override PartName="/xl/charts/chart15.xml" ContentType="application/vnd.openxmlformats-officedocument.drawingml.chart+xml"/>
  <Override PartName="/xl/drawings/drawing17.xml" ContentType="application/vnd.openxmlformats-officedocument.drawingml.chartshapes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syashin_okstate_edu/Documents/0. LAB documents/project 2/0. Ohio DOT Mix design Submittal process/"/>
    </mc:Choice>
  </mc:AlternateContent>
  <xr:revisionPtr revIDLastSave="211" documentId="8_{A7BFEBA0-CE4E-4E0B-997C-C51F7F717906}" xr6:coauthVersionLast="47" xr6:coauthVersionMax="47" xr10:uidLastSave="{5B31C0DD-9758-448A-A0D0-E537F53870FB}"/>
  <bookViews>
    <workbookView xWindow="-110" yWindow="-110" windowWidth="25820" windowHeight="15500" activeTab="1" xr2:uid="{00000000-000D-0000-FFFF-FFFF00000000}"/>
  </bookViews>
  <sheets>
    <sheet name="Sieve AnalysisRTT" sheetId="7" r:id="rId1"/>
    <sheet name="Mix Design" sheetId="6" r:id="rId2"/>
    <sheet name="Sheet5" sheetId="2" state="hidden" r:id="rId3"/>
    <sheet name="Sheet3" sheetId="3" state="hidden" r:id="rId4"/>
    <sheet name="Sheet4" sheetId="4" state="hidden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6" l="1"/>
  <c r="I27" i="6"/>
  <c r="L27" i="6" s="1"/>
  <c r="E15" i="6" s="1"/>
  <c r="C22" i="6" l="1"/>
  <c r="K27" i="6"/>
  <c r="E12" i="6" s="1"/>
  <c r="J27" i="6"/>
  <c r="E13" i="6" s="1"/>
  <c r="C23" i="6" l="1"/>
  <c r="G16" i="6" l="1"/>
  <c r="C24" i="6" l="1"/>
  <c r="C25" i="6" s="1"/>
  <c r="G8" i="6"/>
  <c r="G7" i="6" l="1"/>
  <c r="G14" i="6" l="1"/>
  <c r="G13" i="6" l="1"/>
  <c r="G12" i="6"/>
  <c r="G9" i="6"/>
  <c r="G15" i="6" l="1"/>
  <c r="C26" i="6" s="1"/>
  <c r="G49" i="2" l="1"/>
  <c r="H49" i="2"/>
  <c r="G52" i="2"/>
  <c r="G54" i="2"/>
  <c r="CB1" i="2"/>
  <c r="CC1" i="2"/>
  <c r="C74" i="2" l="1"/>
  <c r="D74" i="2"/>
  <c r="B74" i="2"/>
  <c r="BA21" i="4" l="1"/>
  <c r="BA20" i="4"/>
  <c r="BD21" i="4"/>
  <c r="BD20" i="4"/>
  <c r="BF21" i="4"/>
  <c r="BF20" i="4"/>
  <c r="BI20" i="4"/>
  <c r="AY20" i="4" s="1"/>
  <c r="BH20" i="4"/>
  <c r="AZ20" i="4" s="1"/>
  <c r="BH12" i="4"/>
  <c r="AZ12" i="4" s="1"/>
  <c r="BK16" i="4"/>
  <c r="BF15" i="4"/>
  <c r="BI12" i="4"/>
  <c r="AY12" i="4" s="1"/>
  <c r="AL15" i="4"/>
  <c r="AM22" i="4"/>
  <c r="AM29" i="4" s="1"/>
  <c r="AL22" i="4"/>
  <c r="AL29" i="4" s="1"/>
  <c r="AJ22" i="4"/>
  <c r="AJ29" i="4" s="1"/>
  <c r="AI22" i="4"/>
  <c r="AI29" i="4" s="1"/>
  <c r="AH22" i="4"/>
  <c r="AH29" i="4" s="1"/>
  <c r="AG22" i="4"/>
  <c r="AG29" i="4" s="1"/>
  <c r="AM21" i="4"/>
  <c r="AM28" i="4" s="1"/>
  <c r="AL21" i="4"/>
  <c r="AL28" i="4" s="1"/>
  <c r="AJ21" i="4"/>
  <c r="AJ28" i="4" s="1"/>
  <c r="AI21" i="4"/>
  <c r="AI28" i="4" s="1"/>
  <c r="AH21" i="4"/>
  <c r="AH28" i="4" s="1"/>
  <c r="AG21" i="4"/>
  <c r="AG28" i="4" s="1"/>
  <c r="AM20" i="4"/>
  <c r="AM30" i="4" s="1"/>
  <c r="AL20" i="4"/>
  <c r="AL30" i="4" s="1"/>
  <c r="AJ20" i="4"/>
  <c r="AJ30" i="4" s="1"/>
  <c r="AI20" i="4"/>
  <c r="AI30" i="4" s="1"/>
  <c r="AH20" i="4"/>
  <c r="AH30" i="4" s="1"/>
  <c r="AG20" i="4"/>
  <c r="AG30" i="4" s="1"/>
  <c r="AQ16" i="4"/>
  <c r="AO12" i="4"/>
  <c r="AE12" i="4" s="1"/>
  <c r="AN12" i="4"/>
  <c r="AN20" i="4" s="1"/>
  <c r="AN28" i="4" s="1"/>
  <c r="AL31" i="4" l="1"/>
  <c r="BF23" i="4"/>
  <c r="BK24" i="4"/>
  <c r="BK27" i="4" s="1"/>
  <c r="AF12" i="4"/>
  <c r="AF20" i="4" s="1"/>
  <c r="AF28" i="4" s="1"/>
  <c r="AL23" i="4"/>
  <c r="BC24" i="4"/>
  <c r="BC16" i="4"/>
  <c r="AQ24" i="4"/>
  <c r="AE20" i="4"/>
  <c r="AQ32" i="4"/>
  <c r="AO20" i="4"/>
  <c r="AO28" i="4" s="1"/>
  <c r="AE28" i="4" s="1"/>
  <c r="CI32" i="3"/>
  <c r="CI31" i="3"/>
  <c r="CI30" i="3"/>
  <c r="CI29" i="3"/>
  <c r="CI28" i="3"/>
  <c r="CI27" i="3"/>
  <c r="CI26" i="3"/>
  <c r="CI25" i="3"/>
  <c r="CI24" i="3"/>
  <c r="CI23" i="3"/>
  <c r="CI22" i="3"/>
  <c r="CI21" i="3"/>
  <c r="CI20" i="3"/>
  <c r="CI19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AI32" i="4" l="1"/>
  <c r="AI24" i="4"/>
  <c r="AI16" i="4"/>
  <c r="BC27" i="4"/>
  <c r="AQ36" i="4"/>
  <c r="AI36" i="4" l="1"/>
  <c r="I55" i="4"/>
  <c r="G55" i="4" s="1"/>
  <c r="J55" i="4"/>
  <c r="K55" i="4"/>
  <c r="L56" i="4"/>
  <c r="O60" i="4" s="1"/>
  <c r="L55" i="4"/>
  <c r="M57" i="4"/>
  <c r="L45" i="4"/>
  <c r="L44" i="4"/>
  <c r="M47" i="4"/>
  <c r="K44" i="4"/>
  <c r="L57" i="4" l="1"/>
  <c r="I44" i="4"/>
  <c r="G44" i="4" s="1"/>
  <c r="O50" i="4"/>
  <c r="L47" i="4"/>
  <c r="H55" i="4"/>
  <c r="F55" i="4" s="1"/>
  <c r="M60" i="4" s="1"/>
  <c r="N60" i="4"/>
  <c r="J44" i="4"/>
  <c r="N50" i="4"/>
  <c r="I36" i="4"/>
  <c r="I35" i="4"/>
  <c r="I34" i="4"/>
  <c r="G30" i="4"/>
  <c r="F30" i="4"/>
  <c r="L31" i="4"/>
  <c r="G29" i="4"/>
  <c r="F29" i="4"/>
  <c r="G28" i="4"/>
  <c r="F28" i="4"/>
  <c r="AC51" i="4"/>
  <c r="AC50" i="4"/>
  <c r="AC49" i="4"/>
  <c r="AC48" i="4"/>
  <c r="AC47" i="4"/>
  <c r="AC46" i="4"/>
  <c r="AC45" i="4"/>
  <c r="H44" i="4" l="1"/>
  <c r="F44" i="4" s="1"/>
  <c r="M50" i="4" s="1"/>
  <c r="L50" i="4" s="1"/>
  <c r="F34" i="4"/>
  <c r="F36" i="4"/>
  <c r="L60" i="4"/>
  <c r="J35" i="4"/>
  <c r="F35" i="4"/>
  <c r="G36" i="4"/>
  <c r="G31" i="4"/>
  <c r="J34" i="4"/>
  <c r="G34" i="4"/>
  <c r="H34" i="4" s="1"/>
  <c r="G35" i="4"/>
  <c r="F31" i="4"/>
  <c r="H35" i="4" l="1"/>
  <c r="H36" i="4"/>
  <c r="F32" i="3"/>
  <c r="AZ73" i="3"/>
  <c r="BC73" i="3" s="1"/>
  <c r="AZ76" i="3"/>
  <c r="AZ74" i="3"/>
  <c r="AZ75" i="3"/>
  <c r="BC75" i="3" s="1"/>
  <c r="AZ69" i="3"/>
  <c r="BC69" i="3" s="1"/>
  <c r="AZ78" i="3"/>
  <c r="AZ72" i="3"/>
  <c r="AZ65" i="3"/>
  <c r="BC65" i="3" s="1"/>
  <c r="AZ66" i="3"/>
  <c r="BC66" i="3" s="1"/>
  <c r="AZ77" i="3"/>
  <c r="BC77" i="3" s="1"/>
  <c r="AZ70" i="3"/>
  <c r="AZ67" i="3"/>
  <c r="BC67" i="3" s="1"/>
  <c r="AZ71" i="3"/>
  <c r="BC71" i="3" s="1"/>
  <c r="AZ68" i="3"/>
  <c r="BC68" i="3" s="1"/>
  <c r="AZ60" i="3"/>
  <c r="AZ59" i="3"/>
  <c r="AZ56" i="3"/>
  <c r="AZ55" i="3"/>
  <c r="AZ51" i="3"/>
  <c r="AZ52" i="3"/>
  <c r="BC52" i="3" s="1"/>
  <c r="AZ61" i="3"/>
  <c r="BC61" i="3" s="1"/>
  <c r="AZ58" i="3"/>
  <c r="BC58" i="3" s="1"/>
  <c r="AZ57" i="3"/>
  <c r="BC57" i="3" s="1"/>
  <c r="AZ54" i="3"/>
  <c r="BC54" i="3" s="1"/>
  <c r="AZ53" i="3"/>
  <c r="BC53" i="3" s="1"/>
  <c r="AZ50" i="3"/>
  <c r="BC50" i="3" s="1"/>
  <c r="AZ49" i="3"/>
  <c r="BC49" i="3" s="1"/>
  <c r="AZ48" i="3"/>
  <c r="BC48" i="3" s="1"/>
  <c r="AZ37" i="3"/>
  <c r="AZ38" i="3"/>
  <c r="AZ39" i="3"/>
  <c r="AZ40" i="3"/>
  <c r="AZ41" i="3"/>
  <c r="AZ36" i="3"/>
  <c r="BC36" i="3" s="1"/>
  <c r="AZ33" i="3"/>
  <c r="BC33" i="3" s="1"/>
  <c r="AZ30" i="3"/>
  <c r="BC30" i="3" s="1"/>
  <c r="AZ35" i="3"/>
  <c r="BC35" i="3" s="1"/>
  <c r="AZ28" i="3"/>
  <c r="BC28" i="3" s="1"/>
  <c r="AZ32" i="3"/>
  <c r="BC32" i="3" s="1"/>
  <c r="AZ29" i="3"/>
  <c r="BC29" i="3" s="1"/>
  <c r="AZ34" i="3"/>
  <c r="BC34" i="3" s="1"/>
  <c r="AZ31" i="3"/>
  <c r="BC31" i="3" s="1"/>
  <c r="F45" i="3"/>
  <c r="F44" i="3"/>
  <c r="F43" i="3"/>
  <c r="F42" i="3"/>
  <c r="F41" i="3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H37" i="4" l="1"/>
  <c r="E74" i="2"/>
  <c r="D78" i="2" l="1"/>
  <c r="C78" i="2"/>
  <c r="B78" i="2"/>
  <c r="E174" i="2"/>
  <c r="D174" i="2"/>
  <c r="C174" i="2"/>
  <c r="B174" i="2"/>
  <c r="D153" i="2"/>
  <c r="C153" i="2"/>
  <c r="B153" i="2"/>
  <c r="E78" i="2" l="1"/>
  <c r="F174" i="2"/>
  <c r="B177" i="2" s="1"/>
  <c r="E153" i="2"/>
  <c r="D150" i="2" l="1"/>
  <c r="C150" i="2"/>
  <c r="B150" i="2"/>
  <c r="E150" i="2" l="1"/>
  <c r="B154" i="2" s="1"/>
  <c r="B155" i="2" s="1"/>
  <c r="E225" i="2" l="1"/>
  <c r="D228" i="2" s="1"/>
  <c r="E86" i="2"/>
  <c r="D90" i="2" s="1"/>
  <c r="E113" i="2"/>
  <c r="D116" i="2" s="1"/>
  <c r="E140" i="2"/>
  <c r="D143" i="2" s="1"/>
  <c r="E168" i="2"/>
  <c r="D171" i="2" s="1"/>
  <c r="E197" i="2"/>
  <c r="D200" i="2" s="1"/>
  <c r="I61" i="2" l="1"/>
  <c r="B228" i="2"/>
  <c r="C228" i="2"/>
  <c r="B200" i="2"/>
  <c r="C200" i="2"/>
  <c r="B171" i="2"/>
  <c r="C171" i="2"/>
  <c r="B143" i="2"/>
  <c r="C143" i="2"/>
  <c r="B116" i="2"/>
  <c r="C116" i="2"/>
  <c r="B90" i="2"/>
  <c r="C90" i="2"/>
  <c r="I92" i="2" l="1"/>
  <c r="I237" i="2"/>
  <c r="I229" i="2"/>
  <c r="I232" i="2"/>
  <c r="I228" i="2"/>
  <c r="I231" i="2"/>
  <c r="I227" i="2"/>
  <c r="I230" i="2"/>
  <c r="I226" i="2"/>
  <c r="I209" i="2"/>
  <c r="I201" i="2"/>
  <c r="I204" i="2"/>
  <c r="I200" i="2"/>
  <c r="I203" i="2"/>
  <c r="I199" i="2"/>
  <c r="I202" i="2"/>
  <c r="I198" i="2"/>
  <c r="I180" i="2"/>
  <c r="I172" i="2"/>
  <c r="I175" i="2"/>
  <c r="AG188" i="2" s="1"/>
  <c r="I171" i="2"/>
  <c r="I174" i="2"/>
  <c r="I170" i="2"/>
  <c r="I173" i="2"/>
  <c r="I169" i="2"/>
  <c r="I152" i="2"/>
  <c r="I144" i="2"/>
  <c r="I147" i="2"/>
  <c r="AG160" i="2" s="1"/>
  <c r="I143" i="2"/>
  <c r="I146" i="2"/>
  <c r="I142" i="2"/>
  <c r="I145" i="2"/>
  <c r="I141" i="2"/>
  <c r="I125" i="2"/>
  <c r="I117" i="2"/>
  <c r="I120" i="2"/>
  <c r="I116" i="2"/>
  <c r="I119" i="2"/>
  <c r="I115" i="2"/>
  <c r="I118" i="2"/>
  <c r="I114" i="2"/>
  <c r="I88" i="2"/>
  <c r="I98" i="2"/>
  <c r="I93" i="2"/>
  <c r="AG104" i="2" s="1"/>
  <c r="I87" i="2"/>
  <c r="I91" i="2"/>
  <c r="I90" i="2"/>
  <c r="I89" i="2"/>
  <c r="M68" i="2" l="1"/>
  <c r="M72" i="2" s="1"/>
  <c r="M67" i="2"/>
  <c r="M71" i="2" s="1"/>
  <c r="L67" i="2"/>
  <c r="L71" i="2" s="1"/>
  <c r="I66" i="2" l="1"/>
  <c r="I62" i="2"/>
  <c r="I65" i="2"/>
  <c r="I72" i="2"/>
  <c r="I64" i="2"/>
  <c r="I67" i="2"/>
  <c r="AG77" i="2" s="1"/>
  <c r="I63" i="2"/>
  <c r="AG217" i="2"/>
  <c r="AG132" i="2"/>
  <c r="J232" i="2"/>
  <c r="J231" i="2"/>
  <c r="J230" i="2"/>
  <c r="J229" i="2"/>
  <c r="J228" i="2"/>
  <c r="J227" i="2"/>
  <c r="J226" i="2"/>
  <c r="K226" i="2" s="1"/>
  <c r="J204" i="2"/>
  <c r="J203" i="2"/>
  <c r="J202" i="2"/>
  <c r="J201" i="2"/>
  <c r="J200" i="2"/>
  <c r="J199" i="2"/>
  <c r="J198" i="2"/>
  <c r="K198" i="2" s="1"/>
  <c r="J175" i="2"/>
  <c r="J174" i="2"/>
  <c r="J173" i="2"/>
  <c r="J172" i="2"/>
  <c r="J171" i="2"/>
  <c r="J170" i="2"/>
  <c r="J169" i="2"/>
  <c r="J147" i="2"/>
  <c r="J146" i="2"/>
  <c r="J145" i="2"/>
  <c r="J144" i="2"/>
  <c r="J143" i="2"/>
  <c r="J142" i="2"/>
  <c r="J141" i="2"/>
  <c r="J120" i="2"/>
  <c r="J119" i="2"/>
  <c r="J118" i="2"/>
  <c r="J117" i="2"/>
  <c r="J116" i="2"/>
  <c r="J115" i="2"/>
  <c r="J114" i="2"/>
  <c r="J93" i="2"/>
  <c r="J92" i="2"/>
  <c r="J91" i="2"/>
  <c r="J90" i="2"/>
  <c r="J89" i="2"/>
  <c r="J88" i="2"/>
  <c r="J87" i="2"/>
  <c r="J66" i="2" l="1"/>
  <c r="J64" i="2"/>
  <c r="J65" i="2"/>
  <c r="J62" i="2"/>
  <c r="J61" i="2"/>
  <c r="J63" i="2"/>
  <c r="J67" i="2"/>
  <c r="K199" i="2"/>
  <c r="K200" i="2" s="1"/>
  <c r="K201" i="2" s="1"/>
  <c r="K202" i="2" s="1"/>
  <c r="K227" i="2"/>
  <c r="K228" i="2" s="1"/>
  <c r="K229" i="2" s="1"/>
  <c r="K230" i="2" l="1"/>
  <c r="K203" i="2"/>
  <c r="K204" i="2" s="1"/>
  <c r="B63" i="2"/>
  <c r="BC51" i="3" l="1"/>
  <c r="I41" i="3"/>
  <c r="BC70" i="3"/>
  <c r="BC41" i="3"/>
  <c r="AB135" i="3"/>
  <c r="AB80" i="3"/>
  <c r="AB108" i="3"/>
  <c r="AB24" i="3"/>
  <c r="AB52" i="3"/>
  <c r="AG216" i="2"/>
  <c r="K231" i="2"/>
  <c r="K232" i="2" s="1"/>
  <c r="K89" i="2"/>
  <c r="K90" i="2" s="1"/>
  <c r="K91" i="2" s="1"/>
  <c r="K170" i="2"/>
  <c r="K116" i="2"/>
  <c r="K117" i="2" s="1"/>
  <c r="K118" i="2" s="1"/>
  <c r="K171" i="2"/>
  <c r="K172" i="2" s="1"/>
  <c r="K173" i="2" s="1"/>
  <c r="K115" i="2"/>
  <c r="K169" i="2"/>
  <c r="K143" i="2"/>
  <c r="K144" i="2" s="1"/>
  <c r="K142" i="2"/>
  <c r="K141" i="2"/>
  <c r="K114" i="2"/>
  <c r="K88" i="2"/>
  <c r="K87" i="2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L68" i="2" s="1"/>
  <c r="D60" i="2"/>
  <c r="E60" i="2" s="1"/>
  <c r="L63" i="2" s="1"/>
  <c r="D59" i="2"/>
  <c r="E59" i="2" s="1"/>
  <c r="L72" i="2" s="1"/>
  <c r="K145" i="2" l="1"/>
  <c r="K92" i="2"/>
  <c r="K93" i="2" s="1"/>
  <c r="K174" i="2"/>
  <c r="K175" i="2" s="1"/>
  <c r="K119" i="2"/>
  <c r="K120" i="2" s="1"/>
  <c r="AG187" i="2" l="1"/>
  <c r="AG131" i="2"/>
  <c r="K146" i="2"/>
  <c r="K147" i="2" s="1"/>
  <c r="AG159" i="2" s="1"/>
  <c r="AG103" i="2"/>
  <c r="K62" i="2"/>
  <c r="K63" i="2" l="1"/>
  <c r="K64" i="2" s="1"/>
  <c r="K65" i="2" s="1"/>
  <c r="K61" i="2"/>
  <c r="K66" i="2" l="1"/>
  <c r="K67" i="2" l="1"/>
  <c r="AG76" i="2" l="1"/>
  <c r="G10" i="6"/>
  <c r="E11" i="6" l="1"/>
  <c r="E17" i="6" l="1"/>
  <c r="G11" i="6"/>
  <c r="G17" i="6" s="1"/>
  <c r="E18" i="6" l="1"/>
  <c r="C43" i="6"/>
  <c r="C45" i="6"/>
  <c r="C48" i="6"/>
  <c r="C46" i="6"/>
  <c r="C50" i="6"/>
  <c r="C41" i="6"/>
  <c r="C47" i="6"/>
  <c r="C40" i="6"/>
  <c r="C42" i="6"/>
  <c r="C44" i="6"/>
  <c r="C49" i="6"/>
  <c r="I176" i="2" l="1"/>
  <c r="I94" i="2"/>
  <c r="I233" i="2"/>
  <c r="I121" i="2"/>
  <c r="I205" i="2"/>
  <c r="I148" i="2"/>
  <c r="I68" i="2"/>
  <c r="I236" i="2"/>
  <c r="J237" i="2" s="1"/>
  <c r="I97" i="2"/>
  <c r="J98" i="2" s="1"/>
  <c r="I208" i="2"/>
  <c r="J209" i="2" s="1"/>
  <c r="I71" i="2"/>
  <c r="J72" i="2" s="1"/>
  <c r="I151" i="2"/>
  <c r="J152" i="2" s="1"/>
  <c r="I124" i="2"/>
  <c r="J125" i="2" s="1"/>
  <c r="I179" i="2"/>
  <c r="J180" i="2" s="1"/>
  <c r="I150" i="2"/>
  <c r="I207" i="2"/>
  <c r="I123" i="2"/>
  <c r="I178" i="2"/>
  <c r="I70" i="2"/>
  <c r="I96" i="2"/>
  <c r="I235" i="2"/>
  <c r="I95" i="2"/>
  <c r="I149" i="2"/>
  <c r="I122" i="2"/>
  <c r="I69" i="2"/>
  <c r="I234" i="2"/>
  <c r="I177" i="2"/>
  <c r="I206" i="2"/>
  <c r="D39" i="6"/>
  <c r="D45" i="6"/>
  <c r="D41" i="6"/>
  <c r="D42" i="6"/>
  <c r="N25" i="6" s="1"/>
  <c r="D49" i="6"/>
  <c r="G49" i="6" s="1"/>
  <c r="D46" i="6"/>
  <c r="G46" i="6" s="1"/>
  <c r="D43" i="6"/>
  <c r="G43" i="6" s="1"/>
  <c r="D47" i="6"/>
  <c r="D40" i="6"/>
  <c r="G40" i="6" s="1"/>
  <c r="D50" i="6"/>
  <c r="G50" i="6" s="1"/>
  <c r="D48" i="6"/>
  <c r="G48" i="6" s="1"/>
  <c r="D44" i="6"/>
  <c r="O25" i="6" s="1"/>
  <c r="G41" i="6" l="1"/>
  <c r="M25" i="6"/>
  <c r="D55" i="6"/>
  <c r="F22" i="6" s="1"/>
  <c r="D53" i="6"/>
  <c r="F23" i="6" s="1"/>
  <c r="G42" i="6"/>
  <c r="G44" i="6"/>
  <c r="J150" i="2"/>
  <c r="J96" i="2"/>
  <c r="J207" i="2"/>
  <c r="J123" i="2"/>
  <c r="J235" i="2"/>
  <c r="J178" i="2"/>
  <c r="J70" i="2"/>
  <c r="J208" i="2"/>
  <c r="G45" i="6"/>
  <c r="D51" i="6"/>
  <c r="G39" i="6"/>
  <c r="J236" i="2"/>
  <c r="J69" i="2"/>
  <c r="J68" i="2"/>
  <c r="K68" i="2" s="1"/>
  <c r="G47" i="6"/>
  <c r="J97" i="2"/>
  <c r="J149" i="2"/>
  <c r="J148" i="2"/>
  <c r="K148" i="2" s="1"/>
  <c r="J71" i="2"/>
  <c r="J205" i="2"/>
  <c r="K205" i="2" s="1"/>
  <c r="J206" i="2"/>
  <c r="J179" i="2"/>
  <c r="J122" i="2"/>
  <c r="J121" i="2"/>
  <c r="K121" i="2" s="1"/>
  <c r="J124" i="2"/>
  <c r="J233" i="2"/>
  <c r="K233" i="2" s="1"/>
  <c r="J234" i="2"/>
  <c r="J95" i="2"/>
  <c r="J94" i="2"/>
  <c r="K94" i="2" s="1"/>
  <c r="J151" i="2"/>
  <c r="J176" i="2"/>
  <c r="K176" i="2" s="1"/>
  <c r="J177" i="2"/>
  <c r="K95" i="2" l="1"/>
  <c r="K96" i="2" s="1"/>
  <c r="K97" i="2" s="1"/>
  <c r="K98" i="2" s="1"/>
  <c r="K149" i="2"/>
  <c r="K150" i="2" s="1"/>
  <c r="K151" i="2" s="1"/>
  <c r="K152" i="2" s="1"/>
  <c r="K69" i="2"/>
  <c r="K70" i="2" s="1"/>
  <c r="K71" i="2" s="1"/>
  <c r="K72" i="2" s="1"/>
  <c r="K234" i="2"/>
  <c r="K235" i="2" s="1"/>
  <c r="K236" i="2" s="1"/>
  <c r="K237" i="2" s="1"/>
  <c r="K177" i="2"/>
  <c r="K178" i="2" s="1"/>
  <c r="K179" i="2" s="1"/>
  <c r="K180" i="2" s="1"/>
  <c r="K122" i="2"/>
  <c r="K123" i="2" s="1"/>
  <c r="K124" i="2" s="1"/>
  <c r="K125" i="2" s="1"/>
  <c r="K206" i="2"/>
  <c r="K207" i="2" s="1"/>
  <c r="K208" i="2" s="1"/>
  <c r="K209" i="2" s="1"/>
  <c r="E55" i="6"/>
  <c r="E53" i="6"/>
</calcChain>
</file>

<file path=xl/sharedStrings.xml><?xml version="1.0" encoding="utf-8"?>
<sst xmlns="http://schemas.openxmlformats.org/spreadsheetml/2006/main" count="776" uniqueCount="254">
  <si>
    <t>3/8"</t>
  </si>
  <si>
    <t>Sieve Number</t>
  </si>
  <si>
    <t>Coarse I</t>
  </si>
  <si>
    <t>Coarse II</t>
  </si>
  <si>
    <t>Coarse III</t>
  </si>
  <si>
    <t>Fine I</t>
  </si>
  <si>
    <t>Fine II</t>
  </si>
  <si>
    <t>1.5"</t>
  </si>
  <si>
    <t>1"</t>
  </si>
  <si>
    <t>3/4"</t>
  </si>
  <si>
    <t>1/2"</t>
  </si>
  <si>
    <t>#4</t>
  </si>
  <si>
    <t>#8</t>
  </si>
  <si>
    <t>#16</t>
  </si>
  <si>
    <t>#30</t>
  </si>
  <si>
    <t>#50</t>
  </si>
  <si>
    <t>#100</t>
  </si>
  <si>
    <t>#200</t>
  </si>
  <si>
    <t>Pan</t>
  </si>
  <si>
    <t>Batch Weights &amp; Material Properties</t>
  </si>
  <si>
    <t>Material</t>
  </si>
  <si>
    <t>Source of Material</t>
  </si>
  <si>
    <t>Weight (lbs/cy)</t>
  </si>
  <si>
    <t>Specific Gravity</t>
  </si>
  <si>
    <t>Volume (ft³)</t>
  </si>
  <si>
    <t>R3/8</t>
  </si>
  <si>
    <t>Dover</t>
  </si>
  <si>
    <t>coleman</t>
  </si>
  <si>
    <t>Cement</t>
  </si>
  <si>
    <t>Lafarge</t>
  </si>
  <si>
    <t>Fly Ash</t>
  </si>
  <si>
    <t xml:space="preserve">Other Cementitious </t>
  </si>
  <si>
    <t>Water</t>
  </si>
  <si>
    <t>Air</t>
  </si>
  <si>
    <t>Total</t>
  </si>
  <si>
    <t>lbs/cy</t>
  </si>
  <si>
    <t>cf</t>
  </si>
  <si>
    <t>lbs/cf</t>
  </si>
  <si>
    <t xml:space="preserve">Paste Properties </t>
  </si>
  <si>
    <t>Paste Properties</t>
  </si>
  <si>
    <t>Amounts</t>
  </si>
  <si>
    <t>Sand Percentages</t>
  </si>
  <si>
    <t>w/cm</t>
  </si>
  <si>
    <t>Fine Sand:</t>
  </si>
  <si>
    <t xml:space="preserve">SCM replacement </t>
  </si>
  <si>
    <t xml:space="preserve">Coarse Sand: </t>
  </si>
  <si>
    <t>total cementitious</t>
  </si>
  <si>
    <t>lbs</t>
  </si>
  <si>
    <t>sack content</t>
  </si>
  <si>
    <t>sacks</t>
  </si>
  <si>
    <t>Paste Volume</t>
  </si>
  <si>
    <t>%</t>
  </si>
  <si>
    <t>Admixtures</t>
  </si>
  <si>
    <t>Admixture Type</t>
  </si>
  <si>
    <t>Name</t>
  </si>
  <si>
    <t>Dosage (oz/cwt)</t>
  </si>
  <si>
    <t>Water reducer</t>
  </si>
  <si>
    <t>Air entrainer</t>
  </si>
  <si>
    <t>accelerator</t>
  </si>
  <si>
    <t>set control</t>
  </si>
  <si>
    <t>Aggregate Gradation</t>
  </si>
  <si>
    <t>Combined   % Passing</t>
  </si>
  <si>
    <t xml:space="preserve">Combined   % Retained </t>
  </si>
  <si>
    <t>Maximum Boundary</t>
  </si>
  <si>
    <t>Minimum Boundary</t>
  </si>
  <si>
    <t>total</t>
  </si>
  <si>
    <t>Coarse Sand % (#8-30)  =</t>
  </si>
  <si>
    <t>This range amount is a minimum of 15%</t>
  </si>
  <si>
    <t>Fine Sand % (#30-200)  =</t>
  </si>
  <si>
    <t>This allowable range amount is between 24-34%</t>
  </si>
  <si>
    <t>g</t>
  </si>
  <si>
    <t>x</t>
  </si>
  <si>
    <t>y</t>
  </si>
  <si>
    <t>Workability Box</t>
  </si>
  <si>
    <t xml:space="preserve">CF </t>
  </si>
  <si>
    <t>WF</t>
  </si>
  <si>
    <t>sieve(in)</t>
  </si>
  <si>
    <t>sieve(mm)</t>
  </si>
  <si>
    <r>
      <t>Sieve(</t>
    </r>
    <r>
      <rPr>
        <sz val="11"/>
        <color theme="1"/>
        <rFont val="Calibri"/>
        <family val="2"/>
      </rPr>
      <t>ʍ)</t>
    </r>
  </si>
  <si>
    <t>p^.45</t>
  </si>
  <si>
    <t>Combined mix proportions</t>
  </si>
  <si>
    <t>Mix 2</t>
  </si>
  <si>
    <t>passing%</t>
  </si>
  <si>
    <t>Retaiened%</t>
  </si>
  <si>
    <t>cum. Reatained%</t>
  </si>
  <si>
    <t>Max density Line</t>
  </si>
  <si>
    <t>high density line</t>
  </si>
  <si>
    <t>low density line</t>
  </si>
  <si>
    <t xml:space="preserve">Trial </t>
  </si>
  <si>
    <t>Aggregate</t>
  </si>
  <si>
    <t>Aggregate Proportions</t>
  </si>
  <si>
    <t>Unit Weight</t>
  </si>
  <si>
    <t>No.</t>
  </si>
  <si>
    <t xml:space="preserve"> type &amp; Size </t>
  </si>
  <si>
    <t>G3</t>
  </si>
  <si>
    <t>SAND</t>
  </si>
  <si>
    <t xml:space="preserve"> (b/ft^3)</t>
  </si>
  <si>
    <t>SS</t>
  </si>
  <si>
    <t>Grade 3 &amp; 3/8"</t>
  </si>
  <si>
    <t>Mix#</t>
  </si>
  <si>
    <t>Grade 3</t>
  </si>
  <si>
    <t>Sand</t>
  </si>
  <si>
    <t>Factor</t>
  </si>
  <si>
    <t>cement</t>
  </si>
  <si>
    <t xml:space="preserve">Original Proportions </t>
  </si>
  <si>
    <t>CF=</t>
  </si>
  <si>
    <t>WF=</t>
  </si>
  <si>
    <t>Mix 7</t>
  </si>
  <si>
    <t>Richard spur 3/8</t>
  </si>
  <si>
    <t>Grade 3, 3/8"/sand</t>
  </si>
  <si>
    <t>Grade 3/sand</t>
  </si>
  <si>
    <t>Mix 10</t>
  </si>
  <si>
    <t>cement(b)</t>
  </si>
  <si>
    <t>fly ash(b)</t>
  </si>
  <si>
    <t>Water(b)</t>
  </si>
  <si>
    <t>Mix 14</t>
  </si>
  <si>
    <t xml:space="preserve">Sp. Gravity </t>
  </si>
  <si>
    <t>fly ash</t>
  </si>
  <si>
    <t>water</t>
  </si>
  <si>
    <t>volume(ft^3)</t>
  </si>
  <si>
    <t>Agg.(ft^3)</t>
  </si>
  <si>
    <t>paste(ft^3)</t>
  </si>
  <si>
    <t>air (ft^3)</t>
  </si>
  <si>
    <t>air content%</t>
  </si>
  <si>
    <t>Mix 15</t>
  </si>
  <si>
    <t>Volume(ft^3/cy)</t>
  </si>
  <si>
    <t>air</t>
  </si>
  <si>
    <t xml:space="preserve">Paste </t>
  </si>
  <si>
    <t>Agg. Volume=</t>
  </si>
  <si>
    <t>Mix 17</t>
  </si>
  <si>
    <t>Mix 18</t>
  </si>
  <si>
    <t>Original Proportions (by wt)</t>
  </si>
  <si>
    <t>wt</t>
  </si>
  <si>
    <t>volume</t>
  </si>
  <si>
    <t>α  (VP/V)</t>
  </si>
  <si>
    <t>vpoid ratio</t>
  </si>
  <si>
    <t>Agg</t>
  </si>
  <si>
    <t>void ratio</t>
  </si>
  <si>
    <t>pass #8</t>
  </si>
  <si>
    <t>R#8</t>
  </si>
  <si>
    <t>The Toufar and modified Toufar model</t>
  </si>
  <si>
    <t>Toufar et al. (1976) described a model to calculate the packing of binary mixtures for</t>
  </si>
  <si>
    <r>
      <t xml:space="preserve"> </t>
    </r>
    <r>
      <rPr>
        <b/>
        <sz val="16"/>
        <color rgb="FFFF0000"/>
        <rFont val="Calibri"/>
        <family val="2"/>
        <scheme val="minor"/>
      </rPr>
      <t xml:space="preserve">LPDM  </t>
    </r>
    <r>
      <rPr>
        <b/>
        <sz val="16"/>
        <rFont val="Calibri"/>
        <family val="2"/>
        <scheme val="minor"/>
      </rPr>
      <t xml:space="preserve"> Linear Packing Density Model  </t>
    </r>
    <r>
      <rPr>
        <b/>
        <i/>
        <u/>
        <sz val="16"/>
        <rFont val="Calibri"/>
        <family val="2"/>
        <scheme val="minor"/>
      </rPr>
      <t>De Larrard</t>
    </r>
  </si>
  <si>
    <t>(3 Aggregate Blends)</t>
  </si>
  <si>
    <t>(2 Aggregate Blends)</t>
  </si>
  <si>
    <t>diameter ratios 0.22 &lt; d1/d2 &lt; 1.0. The concept of the model is that for diameter ratios &gt;</t>
  </si>
  <si>
    <t>∑</t>
  </si>
  <si>
    <t>0.22 the smaller particles with diameter d1 will actually be too large to be situated within</t>
  </si>
  <si>
    <t>n</t>
  </si>
  <si>
    <t>equation of wall &amp; loseness effects</t>
  </si>
  <si>
    <t>the interstices between the larger particles with diameter d2. Therefore, the packing</t>
  </si>
  <si>
    <t>αt    Min=</t>
  </si>
  <si>
    <t>αi/(1-(1-αi)</t>
  </si>
  <si>
    <t>)</t>
  </si>
  <si>
    <t xml:space="preserve">f(z) = 0.7(1- z) + 0.3(1- z)^12 </t>
  </si>
  <si>
    <t>loseness equation</t>
  </si>
  <si>
    <t>density should depend on the diameter ratio of the two particle classes, as expressed by</t>
  </si>
  <si>
    <t>i=1</t>
  </si>
  <si>
    <t>• g(z) = (1 - z) ^1.3</t>
  </si>
  <si>
    <t>wall effect equation</t>
  </si>
  <si>
    <r>
      <t>the factor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k</t>
    </r>
    <r>
      <rPr>
        <i/>
        <sz val="11"/>
        <color rgb="FFFF0000"/>
        <rFont val="Calibri"/>
        <family val="2"/>
      </rPr>
      <t>d</t>
    </r>
    <r>
      <rPr>
        <sz val="11"/>
        <color theme="1"/>
        <rFont val="Calibri"/>
        <family val="2"/>
        <scheme val="minor"/>
      </rPr>
      <t xml:space="preserve"> . Furthermore, Toufar et al. considered the statistical probability of the</t>
    </r>
  </si>
  <si>
    <t>number of interstices between the coarser particles that are free from smaller particles. It</t>
  </si>
  <si>
    <t>was assumed that each of the fine particles is placed between exactly four of the coarse</t>
  </si>
  <si>
    <t>f</t>
  </si>
  <si>
    <t>d(mm)</t>
  </si>
  <si>
    <t>i</t>
  </si>
  <si>
    <t>a</t>
  </si>
  <si>
    <t>r</t>
  </si>
  <si>
    <t>j</t>
  </si>
  <si>
    <t>z for f(z)</t>
  </si>
  <si>
    <t>z for g(z)</t>
  </si>
  <si>
    <r>
      <t xml:space="preserve">particles, which led to the factor </t>
    </r>
    <r>
      <rPr>
        <i/>
        <sz val="11"/>
        <color rgb="FFFF0000"/>
        <rFont val="Calibri"/>
        <family val="2"/>
        <scheme val="minor"/>
      </rPr>
      <t>ks</t>
    </r>
    <r>
      <rPr>
        <sz val="11"/>
        <color theme="1"/>
        <rFont val="Calibri"/>
        <family val="2"/>
        <scheme val="minor"/>
      </rPr>
      <t xml:space="preserve"> . The total packing density is described by Equations</t>
    </r>
  </si>
  <si>
    <t>#57</t>
  </si>
  <si>
    <t>3.8‐3.11 (Goltermann, et al., 1997).</t>
  </si>
  <si>
    <t>sand</t>
  </si>
  <si>
    <r>
      <t>αt=1/((r1/α1+r2/α2-r2(1/α2-1)</t>
    </r>
    <r>
      <rPr>
        <b/>
        <i/>
        <sz val="11"/>
        <color theme="1"/>
        <rFont val="Calibri"/>
        <family val="2"/>
        <scheme val="minor"/>
      </rPr>
      <t>kd ks)</t>
    </r>
  </si>
  <si>
    <t>(value with wall and loseness effect)</t>
  </si>
  <si>
    <r>
      <t xml:space="preserve">(value </t>
    </r>
    <r>
      <rPr>
        <u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wall and loseness effect)</t>
    </r>
  </si>
  <si>
    <t>kd=(d2-d1)/(d1+d2)</t>
  </si>
  <si>
    <t>ks=1-((1+4x)/(1+x^4))</t>
  </si>
  <si>
    <r>
      <t xml:space="preserve">modefied  </t>
    </r>
    <r>
      <rPr>
        <b/>
        <i/>
        <sz val="11"/>
        <color theme="1"/>
        <rFont val="Calibri"/>
        <family val="2"/>
        <scheme val="minor"/>
      </rPr>
      <t>ks=0.3881 x/0.4753</t>
    </r>
  </si>
  <si>
    <r>
      <t xml:space="preserve">for x </t>
    </r>
    <r>
      <rPr>
        <b/>
        <sz val="11"/>
        <color theme="1"/>
        <rFont val="Calibri"/>
        <family val="2"/>
      </rPr>
      <t>˂</t>
    </r>
    <r>
      <rPr>
        <b/>
        <sz val="11"/>
        <color theme="1"/>
        <rFont val="Calibri"/>
        <family val="2"/>
        <scheme val="minor"/>
      </rPr>
      <t xml:space="preserve"> 0.4753</t>
    </r>
  </si>
  <si>
    <t>αi      packing density of dominant size class i [‐]</t>
  </si>
  <si>
    <r>
      <t xml:space="preserve">for x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0.4753</t>
    </r>
  </si>
  <si>
    <t>αj      packing density of size class j [‐]</t>
  </si>
  <si>
    <t>x=r1 α2/(r2 α1 (1- α2))</t>
  </si>
  <si>
    <t>αij     assisting variable for packing density in the Toufar model [‐]</t>
  </si>
  <si>
    <t>αt      calculated packing density of a mixture [‐]t calculated packing density of a mixture [‐]</t>
  </si>
  <si>
    <r>
      <t>r</t>
    </r>
    <r>
      <rPr>
        <b/>
        <i/>
        <sz val="8"/>
        <color theme="1"/>
        <rFont val="Berlin Sans FB Demi"/>
        <family val="2"/>
      </rPr>
      <t>i</t>
    </r>
    <r>
      <rPr>
        <b/>
        <i/>
        <sz val="11"/>
        <color theme="1"/>
        <rFont val="Berlin Sans FB Demi"/>
        <family val="2"/>
      </rPr>
      <t>-</t>
    </r>
    <r>
      <rPr>
        <b/>
        <i/>
        <sz val="8"/>
        <color theme="1"/>
        <rFont val="Berlin Sans FB Demi"/>
        <family val="2"/>
      </rPr>
      <t>j</t>
    </r>
    <r>
      <rPr>
        <b/>
        <i/>
        <sz val="11"/>
        <color theme="1"/>
        <rFont val="Berlin Sans FB Demi"/>
        <family val="2"/>
      </rPr>
      <t>=r</t>
    </r>
    <r>
      <rPr>
        <b/>
        <i/>
        <sz val="8"/>
        <color theme="1"/>
        <rFont val="Berlin Sans FB Demi"/>
        <family val="2"/>
      </rPr>
      <t>i</t>
    </r>
    <r>
      <rPr>
        <b/>
        <i/>
        <sz val="11"/>
        <color theme="1"/>
        <rFont val="Berlin Sans FB Demi"/>
        <family val="2"/>
      </rPr>
      <t>r</t>
    </r>
    <r>
      <rPr>
        <b/>
        <i/>
        <sz val="8"/>
        <color theme="1"/>
        <rFont val="Berlin Sans FB Demi"/>
        <family val="2"/>
      </rPr>
      <t>j/(1</t>
    </r>
    <r>
      <rPr>
        <b/>
        <i/>
        <sz val="11"/>
        <color theme="1"/>
        <rFont val="Berlin Sans FB Demi"/>
        <family val="2"/>
      </rPr>
      <t>-</t>
    </r>
    <r>
      <rPr>
        <b/>
        <i/>
        <sz val="12"/>
        <color theme="1"/>
        <rFont val="Berlin Sans FB Demi"/>
        <family val="2"/>
      </rPr>
      <t>r</t>
    </r>
    <r>
      <rPr>
        <b/>
        <i/>
        <sz val="8"/>
        <color theme="1"/>
        <rFont val="Berlin Sans FB Demi"/>
        <family val="2"/>
      </rPr>
      <t>i)</t>
    </r>
  </si>
  <si>
    <t>ϕi      partial volume: the volume occupied by size class i in a unit volume [‐]</t>
  </si>
  <si>
    <t>ϕj      partial volume: the volume occupied by size class j in a unit volume [‐]</t>
  </si>
  <si>
    <r>
      <t>r</t>
    </r>
    <r>
      <rPr>
        <b/>
        <i/>
        <sz val="8"/>
        <color theme="1"/>
        <rFont val="Berlin Sans FB Demi"/>
        <family val="2"/>
      </rPr>
      <t>ij</t>
    </r>
    <r>
      <rPr>
        <b/>
        <i/>
        <sz val="11"/>
        <color theme="1"/>
        <rFont val="Berlin Sans FB Demi"/>
        <family val="2"/>
      </rPr>
      <t xml:space="preserve"> = r</t>
    </r>
    <r>
      <rPr>
        <b/>
        <i/>
        <sz val="8"/>
        <color theme="1"/>
        <rFont val="Berlin Sans FB Demi"/>
        <family val="2"/>
      </rPr>
      <t>i</t>
    </r>
    <r>
      <rPr>
        <b/>
        <i/>
        <sz val="12"/>
        <color theme="1"/>
        <rFont val="Berlin Sans FB Demi"/>
        <family val="2"/>
      </rPr>
      <t>-</t>
    </r>
    <r>
      <rPr>
        <b/>
        <i/>
        <sz val="8"/>
        <color theme="1"/>
        <rFont val="Berlin Sans FB Demi"/>
        <family val="2"/>
      </rPr>
      <t xml:space="preserve"> j</t>
    </r>
    <r>
      <rPr>
        <b/>
        <i/>
        <sz val="11"/>
        <color theme="1"/>
        <rFont val="Berlin Sans FB Demi"/>
        <family val="2"/>
      </rPr>
      <t xml:space="preserve"> + r</t>
    </r>
    <r>
      <rPr>
        <b/>
        <i/>
        <sz val="8"/>
        <color theme="1"/>
        <rFont val="Berlin Sans FB Demi"/>
        <family val="2"/>
      </rPr>
      <t>j</t>
    </r>
    <r>
      <rPr>
        <b/>
        <i/>
        <sz val="11"/>
        <color theme="1"/>
        <rFont val="Berlin Sans FB Demi"/>
        <family val="2"/>
      </rPr>
      <t>-</t>
    </r>
    <r>
      <rPr>
        <b/>
        <i/>
        <sz val="8"/>
        <color theme="1"/>
        <rFont val="Berlin Sans FB Demi"/>
        <family val="2"/>
      </rPr>
      <t>i</t>
    </r>
  </si>
  <si>
    <t>d        particle diameter [m]</t>
  </si>
  <si>
    <t>di      diameter of dominant size class i [m]</t>
  </si>
  <si>
    <t>ri</t>
  </si>
  <si>
    <t>rj</t>
  </si>
  <si>
    <t>p% by vol</t>
  </si>
  <si>
    <t>agg</t>
  </si>
  <si>
    <t>dj diameter of particle classj ( j=1  for the largest diameter in the Furnas</t>
  </si>
  <si>
    <t>Packing Dinsity according to De Larrard=</t>
  </si>
  <si>
    <t>model, LPDM, CPM, Linear‐Mixture Packing Model and CIPM, for the</t>
  </si>
  <si>
    <t>smallest diameter in the Toufar model and the Dewar model) [m]</t>
  </si>
  <si>
    <t>kd      diameter ratio of two size classes in the Toufar model [‐]</t>
  </si>
  <si>
    <t>ks       factor in the Toufar model, section 3.3 [‐]</t>
  </si>
  <si>
    <t>n         number of size classes in a mixture</t>
  </si>
  <si>
    <t>Refrences:</t>
  </si>
  <si>
    <t>ri-j</t>
  </si>
  <si>
    <t>rj-i</t>
  </si>
  <si>
    <t>rij</t>
  </si>
  <si>
    <t>kij</t>
  </si>
  <si>
    <t>ks ij</t>
  </si>
  <si>
    <t>ri         volume fraction of size class i , by definition</t>
  </si>
  <si>
    <r>
      <t>ri=</t>
    </r>
    <r>
      <rPr>
        <sz val="11"/>
        <color theme="1"/>
        <rFont val="Calibri"/>
        <family val="2"/>
      </rPr>
      <t>ϕi/</t>
    </r>
  </si>
  <si>
    <t>and</t>
  </si>
  <si>
    <t>rij        assisting variable Toufar model [‐]</t>
  </si>
  <si>
    <t>1-F. de Larrard and T. Sedran. September 23, 1993.( OPTIMIZATION OF ULTRA-HIGH-PERFORNCE CONCRETE BY THE USE OF A PACKING MODEL)</t>
  </si>
  <si>
    <t>ri- j      assisting variable Toufar model [‐]</t>
  </si>
  <si>
    <t>2-Sonja A.A.M. Fennis, Joost C. Walraven, Joop A. den Uijl.Delft University of Technology, the Netherlands.(The use of particle packing models to</t>
  </si>
  <si>
    <t>design ecological concrete)</t>
  </si>
  <si>
    <t>rj          volume fraction of size class j [‐]</t>
  </si>
  <si>
    <t>3-Sebastiana Antonia Adriana Maria FENNIS‐HUIJBEN.17 januari 2011. (Design of Ecological Concrete by Particle Packing Optimization)</t>
  </si>
  <si>
    <t>sum=</t>
  </si>
  <si>
    <t>rj-i        assisting variable Toufar model [‐]</t>
  </si>
  <si>
    <t>x           assisting variable in the Toufar model [‐]</t>
  </si>
  <si>
    <t>sieve #</t>
  </si>
  <si>
    <t>ks</t>
  </si>
  <si>
    <t>(1+x)^4</t>
  </si>
  <si>
    <t>1+4x</t>
  </si>
  <si>
    <t>r1/r2</t>
  </si>
  <si>
    <t>kd</t>
  </si>
  <si>
    <t>αt</t>
  </si>
  <si>
    <t>()</t>
  </si>
  <si>
    <t>r2/α2</t>
  </si>
  <si>
    <t>r1/α1</t>
  </si>
  <si>
    <t>new d(mm)</t>
  </si>
  <si>
    <t>Retained 1/2"</t>
  </si>
  <si>
    <t>Retained #4</t>
  </si>
  <si>
    <t>RS57</t>
  </si>
  <si>
    <t>RS3/8</t>
  </si>
  <si>
    <t>Redrock</t>
  </si>
  <si>
    <t>Mixture Design</t>
  </si>
  <si>
    <t>Sieve Analysis</t>
  </si>
  <si>
    <t xml:space="preserve">% Passing </t>
  </si>
  <si>
    <t>Retained 3/4"</t>
  </si>
  <si>
    <t>Input</t>
  </si>
  <si>
    <t>Sack Content=</t>
  </si>
  <si>
    <t>SCM Replacement=</t>
  </si>
  <si>
    <t>Total Cementitious</t>
  </si>
  <si>
    <t>SCM</t>
  </si>
  <si>
    <t>W/cm=</t>
  </si>
  <si>
    <t>Checks:</t>
  </si>
  <si>
    <t>Fine Sand Limit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</si>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</sst>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0000000000%"/>
    <numFmt numFmtId="166" formatCode="0.000"/>
    <numFmt numFmtId="167" formatCode="0.0000"/>
    <numFmt numFmtId="168" formatCode="0.0"/>
  </numFmts>
  <fonts count="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Verdena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color theme="1"/>
      <name val="Californian FB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Berlin Sans FB Demi"/>
      <family val="2"/>
    </font>
    <font>
      <b/>
      <i/>
      <sz val="8"/>
      <color theme="1"/>
      <name val="Berlin Sans FB Demi"/>
      <family val="2"/>
    </font>
    <font>
      <b/>
      <i/>
      <sz val="12"/>
      <color theme="1"/>
      <name val="Berlin Sans FB Demi"/>
      <family val="2"/>
    </font>
    <font>
      <b/>
      <sz val="11"/>
      <color theme="1"/>
      <name val="Berlin Sans FB Demi"/>
      <family val="2"/>
    </font>
    <font>
      <sz val="10"/>
      <color rgb="FFFF0000"/>
      <name val="Verdana"/>
      <family val="2"/>
    </font>
    <font>
      <b/>
      <i/>
      <u/>
      <sz val="16"/>
      <color theme="1"/>
      <name val="Calibri"/>
      <family val="2"/>
      <scheme val="minor"/>
    </font>
    <font>
      <sz val="11"/>
      <color theme="1"/>
      <name val="Cambria Math"/>
      <family val="1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i/>
      <u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F3F3F"/>
      <name val="Times New Roman"/>
      <family val="1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</fills>
  <borders count="7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 style="mediumDashDotDot">
        <color indexed="64"/>
      </right>
      <top style="medium">
        <color theme="8" tint="-0.249977111117893"/>
      </top>
      <bottom/>
      <diagonal/>
    </border>
    <border>
      <left/>
      <right style="mediumDashDotDot">
        <color indexed="64"/>
      </right>
      <top/>
      <bottom/>
      <diagonal/>
    </border>
    <border>
      <left/>
      <right style="mediumDashDotDot">
        <color indexed="64"/>
      </right>
      <top/>
      <bottom style="medium">
        <color theme="8" tint="-0.249977111117893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3" fillId="17" borderId="67" applyNumberFormat="0" applyAlignment="0" applyProtection="0"/>
    <xf numFmtId="0" fontId="44" fillId="18" borderId="67" applyNumberFormat="0" applyAlignment="0" applyProtection="0"/>
    <xf numFmtId="0" fontId="45" fillId="17" borderId="68" applyNumberFormat="0" applyAlignment="0" applyProtection="0"/>
    <xf numFmtId="0" fontId="7" fillId="0" borderId="0" applyNumberFormat="0" applyFill="0" applyBorder="0" applyAlignment="0" applyProtection="0"/>
  </cellStyleXfs>
  <cellXfs count="502">
    <xf numFmtId="0" fontId="0" fillId="0" borderId="0" xfId="0"/>
    <xf numFmtId="0" fontId="2" fillId="0" borderId="0" xfId="1"/>
    <xf numFmtId="0" fontId="2" fillId="0" borderId="0" xfId="1" applyAlignment="1">
      <alignment horizontal="right"/>
    </xf>
    <xf numFmtId="0" fontId="3" fillId="0" borderId="0" xfId="1" applyFont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2" fillId="3" borderId="3" xfId="1" applyFill="1" applyBorder="1" applyAlignment="1">
      <alignment horizontal="center" vertical="center" wrapText="1"/>
    </xf>
    <xf numFmtId="0" fontId="2" fillId="3" borderId="0" xfId="1" applyFill="1" applyAlignment="1">
      <alignment horizontal="center" vertical="center" wrapText="1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left" indent="3"/>
    </xf>
    <xf numFmtId="0" fontId="0" fillId="0" borderId="1" xfId="0" applyBorder="1" applyAlignment="1">
      <alignment horizontal="left" indent="3"/>
    </xf>
    <xf numFmtId="0" fontId="0" fillId="0" borderId="9" xfId="0" applyBorder="1" applyAlignment="1">
      <alignment horizontal="left" indent="3"/>
    </xf>
    <xf numFmtId="0" fontId="0" fillId="0" borderId="6" xfId="0" applyBorder="1"/>
    <xf numFmtId="0" fontId="0" fillId="0" borderId="6" xfId="0" applyBorder="1" applyAlignment="1">
      <alignment horizontal="left" indent="4"/>
    </xf>
    <xf numFmtId="0" fontId="0" fillId="0" borderId="4" xfId="0" applyBorder="1" applyAlignment="1">
      <alignment horizontal="left" indent="6"/>
    </xf>
    <xf numFmtId="0" fontId="0" fillId="0" borderId="6" xfId="0" applyBorder="1" applyAlignment="1">
      <alignment horizontal="left" indent="6"/>
    </xf>
    <xf numFmtId="0" fontId="2" fillId="0" borderId="2" xfId="1" applyBorder="1"/>
    <xf numFmtId="0" fontId="2" fillId="0" borderId="2" xfId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2" fillId="3" borderId="5" xfId="1" applyFill="1" applyBorder="1" applyAlignment="1">
      <alignment horizontal="center"/>
    </xf>
    <xf numFmtId="0" fontId="0" fillId="0" borderId="4" xfId="0" applyBorder="1" applyAlignment="1">
      <alignment horizontal="left" indent="8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2" xfId="0" applyBorder="1" applyAlignment="1">
      <alignment horizontal="left" indent="1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indent="3"/>
    </xf>
    <xf numFmtId="0" fontId="0" fillId="0" borderId="6" xfId="0" applyBorder="1" applyAlignment="1">
      <alignment horizontal="left" indent="3"/>
    </xf>
    <xf numFmtId="0" fontId="0" fillId="0" borderId="5" xfId="0" applyBorder="1" applyAlignment="1">
      <alignment horizontal="left" indent="4"/>
    </xf>
    <xf numFmtId="0" fontId="0" fillId="0" borderId="5" xfId="0" applyBorder="1" applyAlignment="1">
      <alignment horizontal="left" indent="6"/>
    </xf>
    <xf numFmtId="0" fontId="0" fillId="0" borderId="4" xfId="0" applyBorder="1" applyAlignment="1">
      <alignment horizontal="left" indent="7"/>
    </xf>
    <xf numFmtId="0" fontId="0" fillId="0" borderId="5" xfId="0" applyBorder="1" applyAlignment="1">
      <alignment horizontal="left" indent="7"/>
    </xf>
    <xf numFmtId="0" fontId="0" fillId="0" borderId="6" xfId="0" applyBorder="1" applyAlignment="1">
      <alignment horizontal="left" indent="7"/>
    </xf>
    <xf numFmtId="0" fontId="0" fillId="0" borderId="5" xfId="0" applyBorder="1" applyAlignment="1">
      <alignment horizontal="left" indent="8"/>
    </xf>
    <xf numFmtId="0" fontId="0" fillId="0" borderId="6" xfId="0" applyBorder="1" applyAlignment="1">
      <alignment horizontal="left" indent="8"/>
    </xf>
    <xf numFmtId="0" fontId="0" fillId="0" borderId="5" xfId="0" applyBorder="1" applyAlignment="1">
      <alignment horizontal="left" indent="9"/>
    </xf>
    <xf numFmtId="0" fontId="0" fillId="0" borderId="6" xfId="0" applyBorder="1" applyAlignment="1">
      <alignment horizontal="left" indent="9"/>
    </xf>
    <xf numFmtId="0" fontId="0" fillId="0" borderId="8" xfId="0" applyBorder="1" applyAlignment="1">
      <alignment horizontal="left" indent="6"/>
    </xf>
    <xf numFmtId="0" fontId="0" fillId="0" borderId="1" xfId="0" applyBorder="1" applyAlignment="1">
      <alignment horizontal="left" indent="6"/>
    </xf>
    <xf numFmtId="0" fontId="0" fillId="0" borderId="9" xfId="0" applyBorder="1" applyAlignment="1">
      <alignment horizontal="left" indent="6"/>
    </xf>
    <xf numFmtId="0" fontId="0" fillId="0" borderId="11" xfId="0" applyBorder="1"/>
    <xf numFmtId="0" fontId="0" fillId="0" borderId="0" xfId="0" applyAlignment="1">
      <alignment horizontal="right"/>
    </xf>
    <xf numFmtId="9" fontId="0" fillId="0" borderId="0" xfId="3" applyFont="1"/>
    <xf numFmtId="164" fontId="0" fillId="0" borderId="9" xfId="3" applyNumberFormat="1" applyFont="1" applyBorder="1" applyAlignment="1">
      <alignment horizontal="center"/>
    </xf>
    <xf numFmtId="9" fontId="0" fillId="0" borderId="12" xfId="3" applyFont="1" applyBorder="1" applyAlignment="1">
      <alignment horizontal="center"/>
    </xf>
    <xf numFmtId="9" fontId="0" fillId="0" borderId="13" xfId="3" applyFont="1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11" xfId="3" applyFont="1" applyBorder="1" applyAlignment="1">
      <alignment horizontal="center"/>
    </xf>
    <xf numFmtId="9" fontId="0" fillId="0" borderId="14" xfId="3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3" applyFont="1" applyBorder="1" applyAlignment="1">
      <alignment horizontal="center"/>
    </xf>
    <xf numFmtId="9" fontId="0" fillId="0" borderId="7" xfId="3" applyFont="1" applyBorder="1" applyAlignment="1">
      <alignment horizontal="center"/>
    </xf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10" fontId="0" fillId="0" borderId="7" xfId="3" applyNumberFormat="1" applyFont="1" applyBorder="1" applyAlignment="1">
      <alignment horizontal="center"/>
    </xf>
    <xf numFmtId="10" fontId="0" fillId="0" borderId="14" xfId="3" applyNumberFormat="1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14" xfId="3" applyNumberFormat="1" applyFont="1" applyFill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3" xfId="3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3" applyNumberFormat="1" applyFont="1" applyFill="1" applyBorder="1" applyAlignment="1">
      <alignment horizontal="center"/>
    </xf>
    <xf numFmtId="9" fontId="0" fillId="0" borderId="0" xfId="3" applyFont="1" applyBorder="1" applyAlignment="1">
      <alignment horizontal="center"/>
    </xf>
    <xf numFmtId="9" fontId="0" fillId="0" borderId="0" xfId="3" applyFont="1" applyBorder="1"/>
    <xf numFmtId="9" fontId="0" fillId="0" borderId="8" xfId="3" applyFont="1" applyBorder="1" applyAlignment="1">
      <alignment horizontal="center"/>
    </xf>
    <xf numFmtId="9" fontId="0" fillId="0" borderId="9" xfId="3" applyFont="1" applyBorder="1" applyAlignment="1">
      <alignment horizontal="center"/>
    </xf>
    <xf numFmtId="9" fontId="0" fillId="0" borderId="2" xfId="3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9" xfId="3" applyFont="1" applyBorder="1"/>
    <xf numFmtId="9" fontId="0" fillId="0" borderId="14" xfId="3" applyFont="1" applyBorder="1"/>
    <xf numFmtId="0" fontId="0" fillId="0" borderId="12" xfId="0" applyBorder="1"/>
    <xf numFmtId="9" fontId="0" fillId="0" borderId="13" xfId="3" applyFont="1" applyBorder="1"/>
    <xf numFmtId="9" fontId="0" fillId="2" borderId="7" xfId="3" applyFont="1" applyFill="1" applyBorder="1" applyAlignment="1">
      <alignment horizontal="center"/>
    </xf>
    <xf numFmtId="9" fontId="0" fillId="0" borderId="0" xfId="3" applyFont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4" borderId="7" xfId="3" applyFont="1" applyFill="1" applyBorder="1" applyAlignment="1">
      <alignment horizontal="center"/>
    </xf>
    <xf numFmtId="0" fontId="0" fillId="0" borderId="2" xfId="3" applyNumberFormat="1" applyFont="1" applyBorder="1" applyAlignment="1">
      <alignment horizontal="center"/>
    </xf>
    <xf numFmtId="0" fontId="2" fillId="5" borderId="10" xfId="1" applyFill="1" applyBorder="1"/>
    <xf numFmtId="0" fontId="2" fillId="5" borderId="7" xfId="1" applyFill="1" applyBorder="1"/>
    <xf numFmtId="0" fontId="0" fillId="5" borderId="7" xfId="0" applyFill="1" applyBorder="1"/>
    <xf numFmtId="0" fontId="2" fillId="5" borderId="7" xfId="1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2" fontId="0" fillId="5" borderId="10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2" xfId="3" applyNumberFormat="1" applyFont="1" applyBorder="1" applyAlignment="1">
      <alignment horizontal="center"/>
    </xf>
    <xf numFmtId="9" fontId="0" fillId="0" borderId="2" xfId="0" applyNumberFormat="1" applyBorder="1"/>
    <xf numFmtId="2" fontId="0" fillId="0" borderId="2" xfId="0" applyNumberFormat="1" applyBorder="1"/>
    <xf numFmtId="9" fontId="0" fillId="4" borderId="0" xfId="3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left" indent="9"/>
    </xf>
    <xf numFmtId="0" fontId="2" fillId="3" borderId="3" xfId="1" applyFill="1" applyBorder="1" applyAlignment="1">
      <alignment horizontal="center" wrapText="1"/>
    </xf>
    <xf numFmtId="9" fontId="0" fillId="0" borderId="2" xfId="3" applyFont="1" applyBorder="1"/>
    <xf numFmtId="0" fontId="2" fillId="0" borderId="0" xfId="1" applyAlignment="1">
      <alignment horizontal="center"/>
    </xf>
    <xf numFmtId="9" fontId="0" fillId="4" borderId="3" xfId="3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0" fillId="0" borderId="7" xfId="0" applyBorder="1"/>
    <xf numFmtId="9" fontId="0" fillId="0" borderId="0" xfId="0" applyNumberFormat="1"/>
    <xf numFmtId="0" fontId="0" fillId="5" borderId="15" xfId="0" applyFill="1" applyBorder="1" applyAlignment="1">
      <alignment horizontal="center"/>
    </xf>
    <xf numFmtId="10" fontId="0" fillId="0" borderId="10" xfId="3" applyNumberFormat="1" applyFont="1" applyBorder="1" applyAlignment="1">
      <alignment horizontal="center"/>
    </xf>
    <xf numFmtId="10" fontId="0" fillId="2" borderId="7" xfId="3" applyNumberFormat="1" applyFont="1" applyFill="1" applyBorder="1" applyAlignment="1">
      <alignment horizontal="center"/>
    </xf>
    <xf numFmtId="10" fontId="0" fillId="7" borderId="7" xfId="3" applyNumberFormat="1" applyFont="1" applyFill="1" applyBorder="1" applyAlignment="1">
      <alignment horizontal="center"/>
    </xf>
    <xf numFmtId="10" fontId="0" fillId="0" borderId="0" xfId="0" applyNumberFormat="1"/>
    <xf numFmtId="10" fontId="0" fillId="0" borderId="2" xfId="3" applyNumberFormat="1" applyFont="1" applyBorder="1" applyAlignment="1">
      <alignment horizontal="center"/>
    </xf>
    <xf numFmtId="0" fontId="0" fillId="0" borderId="4" xfId="0" applyBorder="1" applyAlignment="1">
      <alignment horizontal="left" indent="9"/>
    </xf>
    <xf numFmtId="0" fontId="1" fillId="0" borderId="2" xfId="0" applyFont="1" applyBorder="1"/>
    <xf numFmtId="0" fontId="2" fillId="0" borderId="2" xfId="1" applyBorder="1" applyAlignment="1">
      <alignment horizontal="center"/>
    </xf>
    <xf numFmtId="2" fontId="1" fillId="0" borderId="0" xfId="0" applyNumberFormat="1" applyFont="1" applyAlignment="1">
      <alignment horizontal="center"/>
    </xf>
    <xf numFmtId="9" fontId="0" fillId="0" borderId="0" xfId="3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0" fillId="8" borderId="4" xfId="0" applyFill="1" applyBorder="1"/>
    <xf numFmtId="0" fontId="1" fillId="0" borderId="4" xfId="0" applyFont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10" fontId="0" fillId="0" borderId="2" xfId="3" applyNumberFormat="1" applyFont="1" applyBorder="1"/>
    <xf numFmtId="10" fontId="0" fillId="0" borderId="2" xfId="3" applyNumberFormat="1" applyFont="1" applyFill="1" applyBorder="1"/>
    <xf numFmtId="0" fontId="7" fillId="0" borderId="2" xfId="0" applyFont="1" applyBorder="1" applyAlignment="1">
      <alignment horizontal="center"/>
    </xf>
    <xf numFmtId="0" fontId="3" fillId="0" borderId="10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10" fontId="0" fillId="0" borderId="3" xfId="3" applyNumberFormat="1" applyFont="1" applyBorder="1" applyAlignment="1">
      <alignment horizontal="center"/>
    </xf>
    <xf numFmtId="0" fontId="7" fillId="0" borderId="2" xfId="0" applyFont="1" applyBorder="1"/>
    <xf numFmtId="0" fontId="6" fillId="0" borderId="0" xfId="0" applyFont="1"/>
    <xf numFmtId="9" fontId="0" fillId="0" borderId="0" xfId="3" applyFont="1" applyFill="1" applyBorder="1"/>
    <xf numFmtId="0" fontId="0" fillId="0" borderId="0" xfId="0" applyAlignment="1">
      <alignment horizontal="left" indent="8"/>
    </xf>
    <xf numFmtId="0" fontId="0" fillId="0" borderId="0" xfId="0" applyAlignment="1">
      <alignment horizontal="left" indent="4"/>
    </xf>
    <xf numFmtId="0" fontId="2" fillId="0" borderId="0" xfId="1" applyAlignment="1">
      <alignment horizontal="center" wrapText="1"/>
    </xf>
    <xf numFmtId="0" fontId="0" fillId="0" borderId="0" xfId="0" applyAlignment="1">
      <alignment horizontal="left" indent="7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0" fontId="0" fillId="11" borderId="10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2" fillId="11" borderId="4" xfId="0" applyFont="1" applyFill="1" applyBorder="1" applyAlignment="1">
      <alignment horizontal="left" indent="5"/>
    </xf>
    <xf numFmtId="0" fontId="0" fillId="11" borderId="5" xfId="0" applyFill="1" applyBorder="1" applyAlignment="1">
      <alignment horizontal="left" indent="1"/>
    </xf>
    <xf numFmtId="0" fontId="0" fillId="11" borderId="6" xfId="0" applyFill="1" applyBorder="1" applyAlignment="1">
      <alignment horizontal="left"/>
    </xf>
    <xf numFmtId="0" fontId="2" fillId="11" borderId="9" xfId="0" applyFont="1" applyFill="1" applyBorder="1" applyAlignment="1">
      <alignment horizontal="center"/>
    </xf>
    <xf numFmtId="0" fontId="0" fillId="11" borderId="10" xfId="0" applyFill="1" applyBorder="1"/>
    <xf numFmtId="0" fontId="0" fillId="11" borderId="2" xfId="0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2" fontId="2" fillId="9" borderId="3" xfId="0" applyNumberFormat="1" applyFont="1" applyFill="1" applyBorder="1" applyAlignment="1">
      <alignment horizontal="center"/>
    </xf>
    <xf numFmtId="2" fontId="0" fillId="9" borderId="3" xfId="0" applyNumberForma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2" fontId="2" fillId="9" borderId="2" xfId="0" applyNumberFormat="1" applyFont="1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" fontId="2" fillId="9" borderId="7" xfId="0" applyNumberFormat="1" applyFont="1" applyFill="1" applyBorder="1" applyAlignment="1">
      <alignment horizontal="center"/>
    </xf>
    <xf numFmtId="2" fontId="2" fillId="9" borderId="0" xfId="0" applyNumberFormat="1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2" fillId="7" borderId="2" xfId="0" applyNumberFormat="1" applyFon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2" fontId="2" fillId="12" borderId="2" xfId="0" applyNumberFormat="1" applyFont="1" applyFill="1" applyBorder="1" applyAlignment="1">
      <alignment horizontal="center"/>
    </xf>
    <xf numFmtId="2" fontId="0" fillId="12" borderId="2" xfId="0" applyNumberForma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2" fontId="2" fillId="13" borderId="2" xfId="0" applyNumberFormat="1" applyFont="1" applyFill="1" applyBorder="1" applyAlignment="1">
      <alignment horizontal="center"/>
    </xf>
    <xf numFmtId="2" fontId="0" fillId="13" borderId="2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2" fontId="2" fillId="2" borderId="21" xfId="0" applyNumberFormat="1" applyFont="1" applyFill="1" applyBorder="1" applyAlignment="1">
      <alignment horizontal="center"/>
    </xf>
    <xf numFmtId="2" fontId="0" fillId="2" borderId="22" xfId="0" applyNumberForma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2" fontId="2" fillId="10" borderId="2" xfId="0" applyNumberFormat="1" applyFont="1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2" fontId="2" fillId="10" borderId="10" xfId="0" applyNumberFormat="1" applyFont="1" applyFill="1" applyBorder="1" applyAlignment="1">
      <alignment horizontal="center"/>
    </xf>
    <xf numFmtId="2" fontId="0" fillId="10" borderId="10" xfId="0" applyNumberForma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2" fontId="2" fillId="10" borderId="21" xfId="0" applyNumberFormat="1" applyFont="1" applyFill="1" applyBorder="1" applyAlignment="1">
      <alignment horizontal="center"/>
    </xf>
    <xf numFmtId="2" fontId="0" fillId="10" borderId="22" xfId="0" applyNumberForma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2" fontId="2" fillId="10" borderId="3" xfId="0" applyNumberFormat="1" applyFont="1" applyFill="1" applyBorder="1" applyAlignment="1">
      <alignment horizontal="center"/>
    </xf>
    <xf numFmtId="2" fontId="0" fillId="10" borderId="3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2" fontId="2" fillId="0" borderId="0" xfId="0" applyNumberFormat="1" applyFont="1" applyAlignment="1">
      <alignment horizontal="center"/>
    </xf>
    <xf numFmtId="10" fontId="0" fillId="2" borderId="2" xfId="3" applyNumberFormat="1" applyFont="1" applyFill="1" applyBorder="1" applyAlignment="1">
      <alignment horizontal="center"/>
    </xf>
    <xf numFmtId="10" fontId="0" fillId="10" borderId="2" xfId="3" applyNumberFormat="1" applyFont="1" applyFill="1" applyBorder="1" applyAlignment="1">
      <alignment horizontal="center"/>
    </xf>
    <xf numFmtId="10" fontId="0" fillId="2" borderId="0" xfId="0" applyNumberFormat="1" applyFill="1"/>
    <xf numFmtId="10" fontId="0" fillId="10" borderId="7" xfId="3" applyNumberFormat="1" applyFont="1" applyFill="1" applyBorder="1" applyAlignment="1">
      <alignment horizontal="center"/>
    </xf>
    <xf numFmtId="10" fontId="0" fillId="10" borderId="0" xfId="0" applyNumberFormat="1" applyFill="1"/>
    <xf numFmtId="10" fontId="0" fillId="2" borderId="0" xfId="3" applyNumberFormat="1" applyFont="1" applyFill="1" applyAlignment="1">
      <alignment horizontal="center"/>
    </xf>
    <xf numFmtId="10" fontId="0" fillId="10" borderId="0" xfId="3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0" fontId="0" fillId="10" borderId="0" xfId="3" applyNumberFormat="1" applyFont="1" applyFill="1" applyBorder="1" applyAlignment="1">
      <alignment horizontal="center"/>
    </xf>
    <xf numFmtId="10" fontId="0" fillId="10" borderId="7" xfId="0" applyNumberFormat="1" applyFill="1" applyBorder="1" applyAlignment="1">
      <alignment horizontal="center"/>
    </xf>
    <xf numFmtId="10" fontId="0" fillId="10" borderId="0" xfId="0" applyNumberFormat="1" applyFill="1" applyAlignment="1">
      <alignment horizontal="center"/>
    </xf>
    <xf numFmtId="10" fontId="0" fillId="0" borderId="2" xfId="0" applyNumberFormat="1" applyBorder="1"/>
    <xf numFmtId="10" fontId="0" fillId="0" borderId="0" xfId="3" applyNumberFormat="1" applyFont="1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10" fontId="0" fillId="0" borderId="11" xfId="3" applyNumberFormat="1" applyFont="1" applyBorder="1" applyAlignment="1">
      <alignment horizontal="center"/>
    </xf>
    <xf numFmtId="10" fontId="0" fillId="2" borderId="11" xfId="3" applyNumberFormat="1" applyFont="1" applyFill="1" applyBorder="1" applyAlignment="1">
      <alignment horizontal="center"/>
    </xf>
    <xf numFmtId="10" fontId="0" fillId="4" borderId="0" xfId="3" applyNumberFormat="1" applyFont="1" applyFill="1" applyBorder="1" applyAlignment="1">
      <alignment horizontal="center"/>
    </xf>
    <xf numFmtId="10" fontId="0" fillId="2" borderId="10" xfId="0" applyNumberFormat="1" applyFill="1" applyBorder="1"/>
    <xf numFmtId="10" fontId="0" fillId="2" borderId="7" xfId="0" applyNumberFormat="1" applyFill="1" applyBorder="1"/>
    <xf numFmtId="10" fontId="0" fillId="10" borderId="7" xfId="0" applyNumberFormat="1" applyFill="1" applyBorder="1"/>
    <xf numFmtId="10" fontId="0" fillId="10" borderId="3" xfId="0" applyNumberFormat="1" applyFill="1" applyBorder="1"/>
    <xf numFmtId="10" fontId="0" fillId="2" borderId="10" xfId="3" applyNumberFormat="1" applyFont="1" applyFill="1" applyBorder="1" applyAlignment="1">
      <alignment horizontal="center"/>
    </xf>
    <xf numFmtId="10" fontId="0" fillId="10" borderId="3" xfId="3" applyNumberFormat="1" applyFont="1" applyFill="1" applyBorder="1" applyAlignment="1">
      <alignment horizontal="center"/>
    </xf>
    <xf numFmtId="0" fontId="1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6" fillId="0" borderId="0" xfId="0" applyFont="1"/>
    <xf numFmtId="0" fontId="18" fillId="0" borderId="0" xfId="0" applyFont="1"/>
    <xf numFmtId="0" fontId="15" fillId="0" borderId="0" xfId="0" applyFont="1"/>
    <xf numFmtId="0" fontId="19" fillId="0" borderId="0" xfId="0" applyFont="1"/>
    <xf numFmtId="0" fontId="22" fillId="0" borderId="0" xfId="0" applyFont="1"/>
    <xf numFmtId="2" fontId="23" fillId="8" borderId="27" xfId="0" applyNumberFormat="1" applyFont="1" applyFill="1" applyBorder="1" applyAlignment="1">
      <alignment horizontal="center"/>
    </xf>
    <xf numFmtId="2" fontId="23" fillId="8" borderId="2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2" fontId="0" fillId="0" borderId="7" xfId="0" applyNumberFormat="1" applyBorder="1" applyAlignment="1">
      <alignment horizontal="center"/>
    </xf>
    <xf numFmtId="0" fontId="2" fillId="0" borderId="10" xfId="1" applyBorder="1"/>
    <xf numFmtId="0" fontId="2" fillId="0" borderId="7" xfId="1" applyBorder="1"/>
    <xf numFmtId="0" fontId="2" fillId="0" borderId="7" xfId="1" applyBorder="1" applyAlignment="1">
      <alignment horizontal="center"/>
    </xf>
    <xf numFmtId="9" fontId="1" fillId="0" borderId="0" xfId="3" applyFont="1" applyAlignment="1">
      <alignment horizontal="center"/>
    </xf>
    <xf numFmtId="0" fontId="0" fillId="0" borderId="26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/>
    <xf numFmtId="0" fontId="2" fillId="0" borderId="2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8" xfId="0" applyBorder="1"/>
    <xf numFmtId="0" fontId="0" fillId="0" borderId="29" xfId="0" applyBorder="1"/>
    <xf numFmtId="0" fontId="0" fillId="0" borderId="19" xfId="0" applyBorder="1"/>
    <xf numFmtId="0" fontId="0" fillId="0" borderId="0" xfId="0" applyAlignment="1">
      <alignment horizontal="left" indent="6"/>
    </xf>
    <xf numFmtId="9" fontId="2" fillId="0" borderId="0" xfId="3" applyFont="1" applyFill="1" applyBorder="1" applyAlignment="1">
      <alignment horizontal="center"/>
    </xf>
    <xf numFmtId="12" fontId="0" fillId="0" borderId="0" xfId="0" applyNumberFormat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" fillId="6" borderId="4" xfId="0" applyFont="1" applyFill="1" applyBorder="1" applyAlignment="1">
      <alignment horizontal="left" indent="5"/>
    </xf>
    <xf numFmtId="0" fontId="0" fillId="6" borderId="5" xfId="0" applyFill="1" applyBorder="1" applyAlignment="1">
      <alignment horizontal="left" indent="1"/>
    </xf>
    <xf numFmtId="0" fontId="0" fillId="6" borderId="6" xfId="0" applyFill="1" applyBorder="1" applyAlignment="1">
      <alignment horizontal="left"/>
    </xf>
    <xf numFmtId="0" fontId="2" fillId="6" borderId="9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2" applyNumberFormat="1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0" fillId="8" borderId="0" xfId="0" applyNumberFormat="1" applyFill="1" applyAlignment="1">
      <alignment horizontal="center"/>
    </xf>
    <xf numFmtId="164" fontId="0" fillId="0" borderId="7" xfId="2" applyNumberFormat="1" applyFont="1" applyFill="1" applyBorder="1" applyAlignment="1">
      <alignment horizontal="center"/>
    </xf>
    <xf numFmtId="164" fontId="0" fillId="0" borderId="0" xfId="2" applyNumberFormat="1" applyFont="1" applyFill="1" applyAlignment="1">
      <alignment horizontal="center"/>
    </xf>
    <xf numFmtId="2" fontId="23" fillId="0" borderId="0" xfId="0" applyNumberFormat="1" applyFont="1" applyAlignment="1">
      <alignment horizontal="center"/>
    </xf>
    <xf numFmtId="0" fontId="26" fillId="14" borderId="23" xfId="0" applyFont="1" applyFill="1" applyBorder="1" applyAlignment="1">
      <alignment horizontal="center"/>
    </xf>
    <xf numFmtId="0" fontId="2" fillId="14" borderId="23" xfId="0" applyFont="1" applyFill="1" applyBorder="1" applyAlignment="1">
      <alignment horizontal="center"/>
    </xf>
    <xf numFmtId="164" fontId="2" fillId="2" borderId="2" xfId="3" applyNumberFormat="1" applyFont="1" applyFill="1" applyBorder="1" applyAlignment="1">
      <alignment horizontal="center"/>
    </xf>
    <xf numFmtId="164" fontId="2" fillId="2" borderId="10" xfId="3" applyNumberFormat="1" applyFont="1" applyFill="1" applyBorder="1" applyAlignment="1">
      <alignment horizontal="center"/>
    </xf>
    <xf numFmtId="164" fontId="2" fillId="2" borderId="3" xfId="3" applyNumberFormat="1" applyFont="1" applyFill="1" applyBorder="1" applyAlignment="1">
      <alignment horizontal="center"/>
    </xf>
    <xf numFmtId="164" fontId="2" fillId="2" borderId="21" xfId="3" applyNumberFormat="1" applyFont="1" applyFill="1" applyBorder="1" applyAlignment="1">
      <alignment horizontal="center"/>
    </xf>
    <xf numFmtId="164" fontId="2" fillId="10" borderId="2" xfId="3" applyNumberFormat="1" applyFont="1" applyFill="1" applyBorder="1" applyAlignment="1">
      <alignment horizontal="center"/>
    </xf>
    <xf numFmtId="164" fontId="2" fillId="10" borderId="10" xfId="3" applyNumberFormat="1" applyFont="1" applyFill="1" applyBorder="1" applyAlignment="1">
      <alignment horizontal="center"/>
    </xf>
    <xf numFmtId="164" fontId="2" fillId="10" borderId="21" xfId="3" applyNumberFormat="1" applyFont="1" applyFill="1" applyBorder="1" applyAlignment="1">
      <alignment horizontal="center"/>
    </xf>
    <xf numFmtId="164" fontId="2" fillId="10" borderId="3" xfId="3" applyNumberFormat="1" applyFont="1" applyFill="1" applyBorder="1" applyAlignment="1">
      <alignment horizontal="center"/>
    </xf>
    <xf numFmtId="164" fontId="0" fillId="0" borderId="14" xfId="3" applyNumberFormat="1" applyFont="1" applyBorder="1" applyAlignment="1">
      <alignment horizontal="center"/>
    </xf>
    <xf numFmtId="164" fontId="0" fillId="0" borderId="13" xfId="3" applyNumberFormat="1" applyFont="1" applyBorder="1" applyAlignment="1">
      <alignment horizontal="center"/>
    </xf>
    <xf numFmtId="164" fontId="0" fillId="8" borderId="10" xfId="3" applyNumberFormat="1" applyFont="1" applyFill="1" applyBorder="1" applyAlignment="1">
      <alignment horizontal="center"/>
    </xf>
    <xf numFmtId="164" fontId="0" fillId="8" borderId="7" xfId="3" applyNumberFormat="1" applyFont="1" applyFill="1" applyBorder="1" applyAlignment="1">
      <alignment horizontal="center"/>
    </xf>
    <xf numFmtId="164" fontId="0" fillId="8" borderId="3" xfId="3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23" xfId="0" applyBorder="1"/>
    <xf numFmtId="0" fontId="0" fillId="2" borderId="32" xfId="0" applyFill="1" applyBorder="1" applyAlignment="1">
      <alignment horizontal="center"/>
    </xf>
    <xf numFmtId="0" fontId="0" fillId="2" borderId="27" xfId="0" applyFill="1" applyBorder="1"/>
    <xf numFmtId="0" fontId="4" fillId="14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29" fillId="0" borderId="0" xfId="0" applyFont="1"/>
    <xf numFmtId="0" fontId="10" fillId="0" borderId="0" xfId="0" applyFont="1"/>
    <xf numFmtId="0" fontId="31" fillId="11" borderId="0" xfId="0" applyFont="1" applyFill="1"/>
    <xf numFmtId="0" fontId="1" fillId="11" borderId="0" xfId="0" applyFont="1" applyFill="1"/>
    <xf numFmtId="0" fontId="25" fillId="0" borderId="0" xfId="0" applyFont="1"/>
    <xf numFmtId="0" fontId="11" fillId="0" borderId="0" xfId="0" applyFont="1" applyAlignment="1">
      <alignment horizontal="right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0" fillId="0" borderId="36" xfId="0" applyFont="1" applyBorder="1"/>
    <xf numFmtId="0" fontId="0" fillId="0" borderId="37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0" fontId="0" fillId="0" borderId="43" xfId="0" applyBorder="1"/>
    <xf numFmtId="0" fontId="32" fillId="0" borderId="0" xfId="0" applyFont="1"/>
    <xf numFmtId="9" fontId="0" fillId="0" borderId="4" xfId="3" applyFont="1" applyBorder="1" applyAlignment="1">
      <alignment horizontal="center"/>
    </xf>
    <xf numFmtId="0" fontId="0" fillId="0" borderId="5" xfId="0" applyBorder="1" applyAlignment="1">
      <alignment horizontal="left" indent="1"/>
    </xf>
    <xf numFmtId="9" fontId="0" fillId="0" borderId="4" xfId="0" applyNumberFormat="1" applyBorder="1"/>
    <xf numFmtId="0" fontId="27" fillId="0" borderId="0" xfId="0" applyFont="1"/>
    <xf numFmtId="0" fontId="24" fillId="0" borderId="0" xfId="0" applyFont="1"/>
    <xf numFmtId="16" fontId="0" fillId="0" borderId="0" xfId="0" applyNumberFormat="1" applyAlignment="1">
      <alignment horizontal="left" indent="4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 vertical="center"/>
    </xf>
    <xf numFmtId="167" fontId="0" fillId="0" borderId="0" xfId="0" applyNumberFormat="1"/>
    <xf numFmtId="9" fontId="1" fillId="0" borderId="0" xfId="3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33" fillId="0" borderId="44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2" fontId="34" fillId="0" borderId="46" xfId="0" applyNumberFormat="1" applyFont="1" applyBorder="1" applyAlignment="1">
      <alignment horizontal="center" vertical="center"/>
    </xf>
    <xf numFmtId="2" fontId="31" fillId="2" borderId="2" xfId="0" applyNumberFormat="1" applyFont="1" applyFill="1" applyBorder="1" applyAlignment="1">
      <alignment horizontal="center"/>
    </xf>
    <xf numFmtId="0" fontId="34" fillId="0" borderId="47" xfId="0" applyFont="1" applyBorder="1" applyAlignment="1">
      <alignment horizontal="center" vertical="center"/>
    </xf>
    <xf numFmtId="2" fontId="34" fillId="0" borderId="48" xfId="0" applyNumberFormat="1" applyFont="1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0" xfId="0" applyFont="1"/>
    <xf numFmtId="0" fontId="33" fillId="15" borderId="23" xfId="0" applyFont="1" applyFill="1" applyBorder="1" applyAlignment="1">
      <alignment horizontal="center" vertical="center" wrapText="1"/>
    </xf>
    <xf numFmtId="0" fontId="33" fillId="15" borderId="24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2" fontId="34" fillId="15" borderId="46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/>
    </xf>
    <xf numFmtId="2" fontId="34" fillId="15" borderId="48" xfId="0" applyNumberFormat="1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2" fontId="34" fillId="15" borderId="5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/>
    </xf>
    <xf numFmtId="2" fontId="0" fillId="0" borderId="0" xfId="0" applyNumberFormat="1"/>
    <xf numFmtId="10" fontId="0" fillId="0" borderId="0" xfId="3" applyNumberFormat="1" applyFont="1" applyFill="1" applyBorder="1"/>
    <xf numFmtId="164" fontId="0" fillId="0" borderId="0" xfId="0" applyNumberFormat="1" applyAlignment="1">
      <alignment horizontal="center"/>
    </xf>
    <xf numFmtId="2" fontId="31" fillId="0" borderId="0" xfId="0" applyNumberFormat="1" applyFont="1" applyAlignment="1">
      <alignment horizontal="center"/>
    </xf>
    <xf numFmtId="0" fontId="35" fillId="0" borderId="0" xfId="0" applyFont="1"/>
    <xf numFmtId="0" fontId="36" fillId="0" borderId="0" xfId="0" applyFont="1"/>
    <xf numFmtId="0" fontId="37" fillId="0" borderId="56" xfId="0" applyFont="1" applyBorder="1" applyAlignment="1">
      <alignment horizontal="center" wrapText="1"/>
    </xf>
    <xf numFmtId="0" fontId="37" fillId="0" borderId="60" xfId="0" applyFont="1" applyBorder="1" applyAlignment="1">
      <alignment horizontal="center" wrapText="1"/>
    </xf>
    <xf numFmtId="0" fontId="37" fillId="0" borderId="53" xfId="0" applyFont="1" applyBorder="1"/>
    <xf numFmtId="0" fontId="37" fillId="0" borderId="54" xfId="0" applyFont="1" applyBorder="1"/>
    <xf numFmtId="0" fontId="37" fillId="0" borderId="0" xfId="0" applyFont="1"/>
    <xf numFmtId="0" fontId="38" fillId="0" borderId="53" xfId="1" applyFont="1" applyBorder="1" applyAlignment="1">
      <alignment horizontal="left" vertical="center" wrapText="1"/>
    </xf>
    <xf numFmtId="0" fontId="38" fillId="0" borderId="53" xfId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1" fontId="36" fillId="0" borderId="0" xfId="0" applyNumberFormat="1" applyFont="1"/>
    <xf numFmtId="0" fontId="7" fillId="0" borderId="0" xfId="0" applyFont="1"/>
    <xf numFmtId="0" fontId="39" fillId="0" borderId="0" xfId="0" applyFont="1"/>
    <xf numFmtId="0" fontId="40" fillId="0" borderId="0" xfId="0" applyFont="1"/>
    <xf numFmtId="0" fontId="36" fillId="0" borderId="53" xfId="0" applyFont="1" applyBorder="1" applyAlignment="1">
      <alignment horizontal="center"/>
    </xf>
    <xf numFmtId="0" fontId="36" fillId="0" borderId="53" xfId="0" applyFont="1" applyBorder="1" applyAlignment="1">
      <alignment vertical="top"/>
    </xf>
    <xf numFmtId="0" fontId="36" fillId="0" borderId="54" xfId="0" applyFont="1" applyBorder="1" applyAlignment="1">
      <alignment horizontal="center"/>
    </xf>
    <xf numFmtId="0" fontId="37" fillId="0" borderId="56" xfId="0" applyFont="1" applyBorder="1"/>
    <xf numFmtId="0" fontId="37" fillId="0" borderId="57" xfId="0" applyFont="1" applyBorder="1"/>
    <xf numFmtId="0" fontId="41" fillId="0" borderId="56" xfId="1" applyFont="1" applyBorder="1" applyAlignment="1">
      <alignment horizontal="center" wrapText="1"/>
    </xf>
    <xf numFmtId="0" fontId="41" fillId="0" borderId="60" xfId="1" applyFont="1" applyBorder="1" applyAlignment="1">
      <alignment horizontal="center" wrapText="1"/>
    </xf>
    <xf numFmtId="0" fontId="41" fillId="0" borderId="57" xfId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8" fillId="0" borderId="54" xfId="1" applyFont="1" applyBorder="1" applyAlignment="1">
      <alignment horizontal="left" vertical="center"/>
    </xf>
    <xf numFmtId="10" fontId="36" fillId="0" borderId="0" xfId="0" applyNumberFormat="1" applyFont="1"/>
    <xf numFmtId="0" fontId="36" fillId="16" borderId="3" xfId="0" applyFont="1" applyFill="1" applyBorder="1" applyAlignment="1" applyProtection="1">
      <alignment horizontal="right" wrapText="1"/>
      <protection locked="0"/>
    </xf>
    <xf numFmtId="2" fontId="36" fillId="16" borderId="2" xfId="0" applyNumberFormat="1" applyFont="1" applyFill="1" applyBorder="1" applyProtection="1">
      <protection locked="0"/>
    </xf>
    <xf numFmtId="0" fontId="36" fillId="16" borderId="2" xfId="0" applyFont="1" applyFill="1" applyBorder="1" applyProtection="1">
      <protection locked="0"/>
    </xf>
    <xf numFmtId="2" fontId="36" fillId="0" borderId="55" xfId="0" applyNumberFormat="1" applyFont="1" applyBorder="1"/>
    <xf numFmtId="10" fontId="36" fillId="0" borderId="59" xfId="0" applyNumberFormat="1" applyFont="1" applyBorder="1"/>
    <xf numFmtId="168" fontId="36" fillId="0" borderId="3" xfId="0" applyNumberFormat="1" applyFont="1" applyBorder="1"/>
    <xf numFmtId="168" fontId="36" fillId="0" borderId="2" xfId="0" applyNumberFormat="1" applyFont="1" applyBorder="1"/>
    <xf numFmtId="168" fontId="36" fillId="0" borderId="0" xfId="0" applyNumberFormat="1" applyFont="1"/>
    <xf numFmtId="10" fontId="36" fillId="0" borderId="2" xfId="0" applyNumberFormat="1" applyFont="1" applyBorder="1"/>
    <xf numFmtId="10" fontId="36" fillId="0" borderId="55" xfId="0" applyNumberFormat="1" applyFont="1" applyBorder="1"/>
    <xf numFmtId="10" fontId="36" fillId="0" borderId="58" xfId="0" applyNumberFormat="1" applyFont="1" applyBorder="1"/>
    <xf numFmtId="16" fontId="36" fillId="0" borderId="0" xfId="3" quotePrefix="1" applyNumberFormat="1" applyFont="1"/>
    <xf numFmtId="10" fontId="0" fillId="0" borderId="0" xfId="3" applyNumberFormat="1" applyFont="1"/>
    <xf numFmtId="166" fontId="36" fillId="16" borderId="2" xfId="0" applyNumberFormat="1" applyFont="1" applyFill="1" applyBorder="1" applyProtection="1">
      <protection locked="0"/>
    </xf>
    <xf numFmtId="2" fontId="36" fillId="0" borderId="0" xfId="0" applyNumberFormat="1" applyFont="1"/>
    <xf numFmtId="1" fontId="0" fillId="0" borderId="0" xfId="0" applyNumberFormat="1"/>
    <xf numFmtId="1" fontId="36" fillId="16" borderId="2" xfId="0" applyNumberFormat="1" applyFont="1" applyFill="1" applyBorder="1" applyProtection="1">
      <protection locked="0"/>
    </xf>
    <xf numFmtId="2" fontId="36" fillId="0" borderId="55" xfId="3" applyNumberFormat="1" applyFont="1" applyFill="1" applyBorder="1"/>
    <xf numFmtId="9" fontId="0" fillId="0" borderId="0" xfId="0" applyNumberFormat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36" fillId="0" borderId="0" xfId="3" applyNumberFormat="1" applyFont="1" applyBorder="1"/>
    <xf numFmtId="2" fontId="40" fillId="0" borderId="55" xfId="0" applyNumberFormat="1" applyFont="1" applyBorder="1"/>
    <xf numFmtId="0" fontId="41" fillId="0" borderId="0" xfId="1" applyFont="1" applyAlignment="1">
      <alignment horizontal="center" wrapText="1"/>
    </xf>
    <xf numFmtId="9" fontId="36" fillId="0" borderId="0" xfId="3" applyFont="1" applyFill="1" applyBorder="1"/>
    <xf numFmtId="0" fontId="41" fillId="0" borderId="2" xfId="1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8" fillId="0" borderId="2" xfId="1" applyFont="1" applyBorder="1" applyAlignment="1">
      <alignment horizontal="left" vertical="center" wrapText="1"/>
    </xf>
    <xf numFmtId="0" fontId="38" fillId="0" borderId="2" xfId="1" applyFont="1" applyBorder="1" applyAlignment="1">
      <alignment horizontal="left" vertical="center"/>
    </xf>
    <xf numFmtId="0" fontId="36" fillId="0" borderId="2" xfId="0" applyFont="1" applyBorder="1" applyAlignment="1">
      <alignment horizontal="left"/>
    </xf>
    <xf numFmtId="164" fontId="36" fillId="0" borderId="3" xfId="0" applyNumberFormat="1" applyFont="1" applyBorder="1"/>
    <xf numFmtId="168" fontId="0" fillId="0" borderId="0" xfId="0" applyNumberFormat="1" applyAlignment="1">
      <alignment horizontal="right" indent="1"/>
    </xf>
    <xf numFmtId="9" fontId="36" fillId="0" borderId="0" xfId="0" applyNumberFormat="1" applyFont="1"/>
    <xf numFmtId="164" fontId="44" fillId="18" borderId="67" xfId="5" applyNumberFormat="1" applyAlignment="1">
      <alignment horizontal="center"/>
    </xf>
    <xf numFmtId="9" fontId="44" fillId="18" borderId="67" xfId="5" applyNumberFormat="1"/>
    <xf numFmtId="0" fontId="7" fillId="0" borderId="0" xfId="7" applyAlignment="1">
      <alignment horizontal="center"/>
    </xf>
    <xf numFmtId="164" fontId="44" fillId="18" borderId="67" xfId="5" applyNumberFormat="1"/>
    <xf numFmtId="168" fontId="40" fillId="0" borderId="58" xfId="0" applyNumberFormat="1" applyFont="1" applyBorder="1"/>
    <xf numFmtId="168" fontId="0" fillId="0" borderId="0" xfId="0" applyNumberFormat="1"/>
    <xf numFmtId="9" fontId="37" fillId="0" borderId="2" xfId="3" applyFont="1" applyFill="1" applyBorder="1"/>
    <xf numFmtId="0" fontId="38" fillId="2" borderId="53" xfId="1" applyFont="1" applyFill="1" applyBorder="1" applyAlignment="1">
      <alignment horizontal="left" vertical="center"/>
    </xf>
    <xf numFmtId="10" fontId="36" fillId="2" borderId="2" xfId="0" applyNumberFormat="1" applyFont="1" applyFill="1" applyBorder="1"/>
    <xf numFmtId="10" fontId="36" fillId="2" borderId="55" xfId="0" applyNumberFormat="1" applyFont="1" applyFill="1" applyBorder="1"/>
    <xf numFmtId="0" fontId="7" fillId="2" borderId="0" xfId="7" applyFill="1" applyAlignment="1">
      <alignment horizontal="center"/>
    </xf>
    <xf numFmtId="0" fontId="0" fillId="2" borderId="0" xfId="0" applyFill="1"/>
    <xf numFmtId="0" fontId="0" fillId="0" borderId="55" xfId="0" applyBorder="1"/>
    <xf numFmtId="168" fontId="46" fillId="0" borderId="2" xfId="0" applyNumberFormat="1" applyFont="1" applyBorder="1"/>
    <xf numFmtId="10" fontId="46" fillId="0" borderId="2" xfId="0" applyNumberFormat="1" applyFont="1" applyBorder="1" applyAlignment="1">
      <alignment horizontal="center"/>
    </xf>
    <xf numFmtId="168" fontId="47" fillId="0" borderId="2" xfId="0" applyNumberFormat="1" applyFont="1" applyBorder="1"/>
    <xf numFmtId="9" fontId="47" fillId="0" borderId="2" xfId="0" applyNumberFormat="1" applyFont="1" applyBorder="1" applyAlignment="1">
      <alignment horizontal="center"/>
    </xf>
    <xf numFmtId="164" fontId="48" fillId="17" borderId="68" xfId="6" applyNumberFormat="1" applyFont="1" applyAlignment="1">
      <alignment horizontal="center"/>
    </xf>
    <xf numFmtId="166" fontId="36" fillId="0" borderId="55" xfId="0" applyNumberFormat="1" applyFont="1" applyBorder="1"/>
    <xf numFmtId="0" fontId="37" fillId="0" borderId="63" xfId="0" applyFont="1" applyBorder="1" applyAlignment="1">
      <alignment horizontal="center" wrapText="1"/>
    </xf>
    <xf numFmtId="2" fontId="36" fillId="0" borderId="0" xfId="0" applyNumberFormat="1" applyFont="1" applyAlignment="1">
      <alignment horizontal="center"/>
    </xf>
    <xf numFmtId="0" fontId="44" fillId="18" borderId="69" xfId="5" applyBorder="1" applyAlignment="1" applyProtection="1">
      <alignment horizontal="right" wrapText="1"/>
      <protection locked="0"/>
    </xf>
    <xf numFmtId="2" fontId="44" fillId="18" borderId="69" xfId="5" applyNumberFormat="1" applyBorder="1" applyProtection="1">
      <protection locked="0"/>
    </xf>
    <xf numFmtId="0" fontId="44" fillId="18" borderId="69" xfId="5" applyBorder="1" applyProtection="1">
      <protection locked="0"/>
    </xf>
    <xf numFmtId="0" fontId="44" fillId="18" borderId="69" xfId="5" applyBorder="1"/>
    <xf numFmtId="0" fontId="36" fillId="0" borderId="61" xfId="0" applyFont="1" applyBorder="1"/>
    <xf numFmtId="2" fontId="43" fillId="17" borderId="2" xfId="4" applyNumberFormat="1" applyBorder="1"/>
    <xf numFmtId="9" fontId="44" fillId="0" borderId="0" xfId="5" applyNumberFormat="1" applyFill="1" applyBorder="1"/>
    <xf numFmtId="0" fontId="47" fillId="0" borderId="65" xfId="0" applyFont="1" applyBorder="1" applyAlignment="1">
      <alignment horizontal="center"/>
    </xf>
    <xf numFmtId="168" fontId="42" fillId="0" borderId="18" xfId="0" applyNumberFormat="1" applyFont="1" applyBorder="1" applyAlignment="1">
      <alignment horizontal="center"/>
    </xf>
    <xf numFmtId="0" fontId="47" fillId="19" borderId="66" xfId="0" applyFont="1" applyFill="1" applyBorder="1" applyAlignment="1">
      <alignment horizontal="center"/>
    </xf>
    <xf numFmtId="2" fontId="42" fillId="19" borderId="19" xfId="0" applyNumberFormat="1" applyFont="1" applyFill="1" applyBorder="1" applyAlignment="1">
      <alignment horizontal="center"/>
    </xf>
    <xf numFmtId="0" fontId="49" fillId="19" borderId="16" xfId="4" applyFont="1" applyFill="1" applyBorder="1" applyAlignment="1">
      <alignment horizontal="center"/>
    </xf>
    <xf numFmtId="1" fontId="50" fillId="19" borderId="17" xfId="4" applyNumberFormat="1" applyFont="1" applyFill="1" applyBorder="1" applyAlignment="1">
      <alignment horizontal="center"/>
    </xf>
    <xf numFmtId="10" fontId="36" fillId="0" borderId="53" xfId="0" applyNumberFormat="1" applyFont="1" applyBorder="1"/>
    <xf numFmtId="10" fontId="36" fillId="0" borderId="54" xfId="0" applyNumberFormat="1" applyFont="1" applyBorder="1"/>
    <xf numFmtId="10" fontId="36" fillId="2" borderId="0" xfId="0" applyNumberFormat="1" applyFont="1" applyFill="1"/>
    <xf numFmtId="168" fontId="51" fillId="16" borderId="16" xfId="0" applyNumberFormat="1" applyFont="1" applyFill="1" applyBorder="1" applyAlignment="1">
      <alignment horizontal="center"/>
    </xf>
    <xf numFmtId="168" fontId="51" fillId="16" borderId="28" xfId="0" applyNumberFormat="1" applyFont="1" applyFill="1" applyBorder="1" applyAlignment="1">
      <alignment horizontal="center"/>
    </xf>
    <xf numFmtId="2" fontId="52" fillId="16" borderId="17" xfId="0" applyNumberFormat="1" applyFont="1" applyFill="1" applyBorder="1" applyAlignment="1">
      <alignment horizontal="center"/>
    </xf>
    <xf numFmtId="2" fontId="47" fillId="16" borderId="18" xfId="0" applyNumberFormat="1" applyFont="1" applyFill="1" applyBorder="1" applyAlignment="1">
      <alignment horizontal="center"/>
    </xf>
    <xf numFmtId="2" fontId="47" fillId="16" borderId="29" xfId="0" applyNumberFormat="1" applyFont="1" applyFill="1" applyBorder="1" applyAlignment="1">
      <alignment horizontal="center"/>
    </xf>
    <xf numFmtId="0" fontId="47" fillId="16" borderId="19" xfId="0" applyFont="1" applyFill="1" applyBorder="1" applyAlignment="1">
      <alignment horizontal="center"/>
    </xf>
    <xf numFmtId="0" fontId="36" fillId="16" borderId="16" xfId="0" applyFont="1" applyFill="1" applyBorder="1"/>
    <xf numFmtId="0" fontId="36" fillId="16" borderId="28" xfId="0" applyFont="1" applyFill="1" applyBorder="1"/>
    <xf numFmtId="0" fontId="0" fillId="16" borderId="17" xfId="0" applyFill="1" applyBorder="1"/>
    <xf numFmtId="9" fontId="36" fillId="16" borderId="18" xfId="3" applyFont="1" applyFill="1" applyBorder="1"/>
    <xf numFmtId="9" fontId="36" fillId="16" borderId="29" xfId="3" applyFont="1" applyFill="1" applyBorder="1"/>
    <xf numFmtId="9" fontId="36" fillId="16" borderId="19" xfId="3" applyFont="1" applyFill="1" applyBorder="1"/>
    <xf numFmtId="164" fontId="37" fillId="0" borderId="2" xfId="3" applyNumberFormat="1" applyFont="1" applyFill="1" applyBorder="1"/>
    <xf numFmtId="0" fontId="0" fillId="0" borderId="15" xfId="0" applyBorder="1" applyAlignment="1">
      <alignment horizontal="center"/>
    </xf>
    <xf numFmtId="10" fontId="36" fillId="0" borderId="56" xfId="0" applyNumberFormat="1" applyFont="1" applyBorder="1" applyAlignment="1">
      <alignment horizontal="center"/>
    </xf>
    <xf numFmtId="10" fontId="36" fillId="0" borderId="57" xfId="0" applyNumberFormat="1" applyFont="1" applyBorder="1" applyAlignment="1">
      <alignment horizontal="center"/>
    </xf>
    <xf numFmtId="0" fontId="42" fillId="0" borderId="0" xfId="0" applyFont="1" applyAlignment="1">
      <alignment horizontal="right"/>
    </xf>
    <xf numFmtId="0" fontId="37" fillId="0" borderId="60" xfId="0" applyFont="1" applyBorder="1" applyAlignment="1">
      <alignment horizontal="center"/>
    </xf>
    <xf numFmtId="0" fontId="37" fillId="0" borderId="57" xfId="0" applyFont="1" applyBorder="1" applyAlignment="1">
      <alignment horizontal="center"/>
    </xf>
    <xf numFmtId="0" fontId="0" fillId="16" borderId="2" xfId="0" applyFill="1" applyBorder="1" applyAlignment="1" applyProtection="1">
      <alignment horizontal="center"/>
      <protection locked="0"/>
    </xf>
    <xf numFmtId="0" fontId="0" fillId="16" borderId="55" xfId="0" applyFill="1" applyBorder="1" applyAlignment="1" applyProtection="1">
      <alignment horizontal="center"/>
      <protection locked="0"/>
    </xf>
    <xf numFmtId="0" fontId="0" fillId="16" borderId="59" xfId="0" applyFill="1" applyBorder="1" applyAlignment="1" applyProtection="1">
      <alignment horizontal="center"/>
      <protection locked="0"/>
    </xf>
    <xf numFmtId="0" fontId="0" fillId="16" borderId="58" xfId="0" applyFill="1" applyBorder="1" applyAlignment="1" applyProtection="1">
      <alignment horizontal="center"/>
      <protection locked="0"/>
    </xf>
    <xf numFmtId="0" fontId="37" fillId="0" borderId="0" xfId="0" applyFont="1" applyAlignment="1">
      <alignment horizontal="right"/>
    </xf>
    <xf numFmtId="0" fontId="36" fillId="16" borderId="4" xfId="0" applyFont="1" applyFill="1" applyBorder="1" applyAlignment="1" applyProtection="1">
      <alignment horizontal="center"/>
      <protection locked="0"/>
    </xf>
    <xf numFmtId="0" fontId="36" fillId="16" borderId="6" xfId="0" applyFont="1" applyFill="1" applyBorder="1" applyAlignment="1" applyProtection="1">
      <alignment horizontal="center"/>
      <protection locked="0"/>
    </xf>
    <xf numFmtId="0" fontId="37" fillId="0" borderId="63" xfId="0" applyFont="1" applyBorder="1" applyAlignment="1">
      <alignment horizontal="center" wrapText="1"/>
    </xf>
    <xf numFmtId="0" fontId="37" fillId="0" borderId="64" xfId="0" applyFont="1" applyBorder="1" applyAlignment="1">
      <alignment horizontal="center" wrapText="1"/>
    </xf>
    <xf numFmtId="0" fontId="36" fillId="16" borderId="4" xfId="0" applyFont="1" applyFill="1" applyBorder="1" applyAlignment="1" applyProtection="1">
      <alignment horizontal="center" wrapText="1"/>
      <protection locked="0"/>
    </xf>
    <xf numFmtId="0" fontId="36" fillId="16" borderId="6" xfId="0" applyFont="1" applyFill="1" applyBorder="1" applyAlignment="1" applyProtection="1">
      <alignment horizontal="center" wrapText="1"/>
      <protection locked="0"/>
    </xf>
    <xf numFmtId="16" fontId="36" fillId="16" borderId="4" xfId="0" applyNumberFormat="1" applyFont="1" applyFill="1" applyBorder="1" applyAlignment="1" applyProtection="1">
      <alignment horizontal="center"/>
      <protection locked="0"/>
    </xf>
    <xf numFmtId="10" fontId="36" fillId="16" borderId="61" xfId="0" applyNumberFormat="1" applyFont="1" applyFill="1" applyBorder="1" applyAlignment="1" applyProtection="1">
      <alignment horizontal="center"/>
      <protection locked="0"/>
    </xf>
    <xf numFmtId="10" fontId="36" fillId="16" borderId="62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wrapText="1"/>
    </xf>
  </cellXfs>
  <cellStyles count="8">
    <cellStyle name="Calculation" xfId="4" builtinId="22"/>
    <cellStyle name="Input" xfId="5" builtinId="20"/>
    <cellStyle name="Normal" xfId="0" builtinId="0"/>
    <cellStyle name="Normal 2" xfId="1" xr:uid="{00000000-0005-0000-0000-000001000000}"/>
    <cellStyle name="Output" xfId="6" builtinId="21"/>
    <cellStyle name="Percent" xfId="3" builtinId="5"/>
    <cellStyle name="Percent 2" xfId="2" xr:uid="{00000000-0005-0000-0000-000003000000}"/>
    <cellStyle name="Warning Text" xfId="7" builtinId="1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72111379379934E-2"/>
          <c:y val="2.5624645699134262E-2"/>
          <c:w val="0.86240792999700189"/>
          <c:h val="0.82321716612360629"/>
        </c:manualLayout>
      </c:layout>
      <c:lineChart>
        <c:grouping val="standard"/>
        <c:varyColors val="0"/>
        <c:ser>
          <c:idx val="14"/>
          <c:order val="0"/>
          <c:tx>
            <c:v>Coarse I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'Sieve AnalysisRTT'!$B$7:$B$18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'Sieve AnalysisRTT'!$C$7:$C$18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D-474C-A4A4-2C059AD39398}"/>
            </c:ext>
          </c:extLst>
        </c:ser>
        <c:ser>
          <c:idx val="0"/>
          <c:order val="1"/>
          <c:tx>
            <c:v>Coarse II</c:v>
          </c:tx>
          <c:spPr>
            <a:ln w="38100"/>
          </c:spPr>
          <c:marker>
            <c:symbol val="none"/>
          </c:marker>
          <c:cat>
            <c:strRef>
              <c:f>'Sieve AnalysisRTT'!$B$7:$B$18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'Sieve AnalysisRTT'!$D$7:$D$18</c:f>
              <c:numCache>
                <c:formatCode>0.0%</c:formatCode>
                <c:ptCount val="12"/>
                <c:pt idx="0">
                  <c:v>1</c:v>
                </c:pt>
                <c:pt idx="1">
                  <c:v>0.99</c:v>
                </c:pt>
                <c:pt idx="2">
                  <c:v>0.85</c:v>
                </c:pt>
                <c:pt idx="3">
                  <c:v>0.5</c:v>
                </c:pt>
                <c:pt idx="4">
                  <c:v>0.31</c:v>
                </c:pt>
                <c:pt idx="5">
                  <c:v>0.1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D-474C-A4A4-2C059AD39398}"/>
            </c:ext>
          </c:extLst>
        </c:ser>
        <c:ser>
          <c:idx val="1"/>
          <c:order val="2"/>
          <c:tx>
            <c:v>Coarse III</c:v>
          </c:tx>
          <c:spPr>
            <a:ln w="38100"/>
          </c:spPr>
          <c:marker>
            <c:symbol val="none"/>
          </c:marker>
          <c:cat>
            <c:strRef>
              <c:f>'Sieve AnalysisRTT'!$B$7:$B$18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'Sieve AnalysisRTT'!$E$7:$E$18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0.88</c:v>
                </c:pt>
                <c:pt idx="5">
                  <c:v>0.22</c:v>
                </c:pt>
                <c:pt idx="6">
                  <c:v>0.05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D-474C-A4A4-2C059AD39398}"/>
            </c:ext>
          </c:extLst>
        </c:ser>
        <c:ser>
          <c:idx val="13"/>
          <c:order val="3"/>
          <c:tx>
            <c:v>Fine I</c:v>
          </c:tx>
          <c:spPr>
            <a:ln w="381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'Sieve AnalysisRTT'!$B$7:$B$18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'Sieve AnalysisRTT'!$F$7:$F$18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</c:v>
                </c:pt>
                <c:pt idx="6">
                  <c:v>0.84</c:v>
                </c:pt>
                <c:pt idx="7">
                  <c:v>0.66</c:v>
                </c:pt>
                <c:pt idx="8">
                  <c:v>0.43</c:v>
                </c:pt>
                <c:pt idx="9">
                  <c:v>0.15</c:v>
                </c:pt>
                <c:pt idx="10">
                  <c:v>0.03</c:v>
                </c:pt>
                <c:pt idx="11">
                  <c:v>1.3000000000000001E-2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7D-474C-A4A4-2C059AD39398}"/>
            </c:ext>
          </c:extLst>
        </c:ser>
        <c:ser>
          <c:idx val="2"/>
          <c:order val="4"/>
          <c:tx>
            <c:v>Fine II</c:v>
          </c:tx>
          <c:marker>
            <c:symbol val="none"/>
          </c:marker>
          <c:cat>
            <c:strRef>
              <c:f>'Sieve AnalysisRTT'!$B$7:$B$18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'Sieve AnalysisRTT'!$G$7:$G$18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7D-474C-A4A4-2C059AD39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14603600"/>
        <c:axId val="-714612304"/>
      </c:lineChart>
      <c:catAx>
        <c:axId val="-714603600"/>
        <c:scaling>
          <c:logBase val="10"/>
          <c:orientation val="maxMin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Sieve Number</a:t>
                </a:r>
              </a:p>
            </c:rich>
          </c:tx>
          <c:layout>
            <c:manualLayout>
              <c:xMode val="edge"/>
              <c:yMode val="edge"/>
              <c:x val="0.35332246177803139"/>
              <c:y val="0.9238428585720496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-714612304"/>
        <c:crosses val="autoZero"/>
        <c:auto val="1"/>
        <c:lblAlgn val="ctr"/>
        <c:lblOffset val="100"/>
        <c:noMultiLvlLbl val="1"/>
      </c:catAx>
      <c:valAx>
        <c:axId val="-714612304"/>
        <c:scaling>
          <c:orientation val="minMax"/>
          <c:max val="1"/>
          <c:min val="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Passing(%)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-714603600"/>
        <c:crossesAt val="1"/>
        <c:crossBetween val="midCat"/>
      </c:valAx>
    </c:plotArea>
    <c:legend>
      <c:legendPos val="b"/>
      <c:layout>
        <c:manualLayout>
          <c:xMode val="edge"/>
          <c:yMode val="edge"/>
          <c:x val="0.70439236271025463"/>
          <c:y val="0.58145594958505709"/>
          <c:w val="0.17503677448399088"/>
          <c:h val="0.26456607724078907"/>
        </c:manualLayout>
      </c:layout>
      <c:overlay val="0"/>
      <c:spPr>
        <a:solidFill>
          <a:schemeClr val="bg1"/>
        </a:solidFill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/>
    <c:pageMargins b="0.75000000000000855" l="0.70000000000000062" r="0.70000000000000062" t="0.750000000000008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412158384488947E-2"/>
          <c:y val="4.5948866201750753E-2"/>
          <c:w val="0.83939300918832815"/>
          <c:h val="0.81331780764951789"/>
        </c:manualLayout>
      </c:layout>
      <c:lineChart>
        <c:grouping val="standard"/>
        <c:varyColors val="0"/>
        <c:ser>
          <c:idx val="4"/>
          <c:order val="0"/>
          <c:tx>
            <c:v>Mix 1</c:v>
          </c:tx>
          <c:spPr>
            <a:ln w="38100">
              <a:solidFill>
                <a:schemeClr val="accent6"/>
              </a:solidFill>
            </a:ln>
          </c:spPr>
          <c:marker>
            <c:symbol val="none"/>
          </c:marker>
          <c:dLbls>
            <c:dLbl>
              <c:idx val="3"/>
              <c:layout>
                <c:manualLayout>
                  <c:x val="2.2033633250384935E-2"/>
                  <c:y val="-4.8187744543921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96-4E26-AF7D-D6B63D8C8B14}"/>
                </c:ext>
              </c:extLst>
            </c:dLbl>
            <c:dLbl>
              <c:idx val="5"/>
              <c:layout>
                <c:manualLayout>
                  <c:x val="-3.1691745748657005E-2"/>
                  <c:y val="-9.2169261631883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96-4E26-AF7D-D6B63D8C8B1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'Mix Design'!$B$39:$B$50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'Mix Design'!$D$39:$D$50</c:f>
              <c:numCache>
                <c:formatCode>0.00%</c:formatCode>
                <c:ptCount val="12"/>
                <c:pt idx="0">
                  <c:v>0</c:v>
                </c:pt>
                <c:pt idx="1">
                  <c:v>4.4295885443155214E-3</c:v>
                </c:pt>
                <c:pt idx="2">
                  <c:v>6.2014239620414635E-2</c:v>
                </c:pt>
                <c:pt idx="3">
                  <c:v>0.15503559905103681</c:v>
                </c:pt>
                <c:pt idx="4">
                  <c:v>9.5102657492296405E-2</c:v>
                </c:pt>
                <c:pt idx="5">
                  <c:v>0.15785267795045965</c:v>
                </c:pt>
                <c:pt idx="6">
                  <c:v>0.10752752708189756</c:v>
                </c:pt>
                <c:pt idx="7">
                  <c:v>0.10691634246096832</c:v>
                </c:pt>
                <c:pt idx="8">
                  <c:v>0.11079704449276406</c:v>
                </c:pt>
                <c:pt idx="9">
                  <c:v>0.13044374540845854</c:v>
                </c:pt>
                <c:pt idx="10">
                  <c:v>5.5904462317910797E-2</c:v>
                </c:pt>
                <c:pt idx="11">
                  <c:v>7.9197988283706972E-3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2EC-4311-8068-B4E91679CA74}"/>
            </c:ext>
          </c:extLst>
        </c:ser>
        <c:ser>
          <c:idx val="5"/>
          <c:order val="2"/>
          <c:tx>
            <c:v>Maximum Boundary</c:v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lgDash"/>
            </a:ln>
          </c:spPr>
          <c:marker>
            <c:symbol val="none"/>
          </c:marker>
          <c:cat>
            <c:strRef>
              <c:f>'Mix Design'!$B$39:$B$50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'Mix Design'!$E$39:$E$50</c:f>
              <c:numCache>
                <c:formatCode>0.00%</c:formatCode>
                <c:ptCount val="12"/>
                <c:pt idx="0">
                  <c:v>0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0.12</c:v>
                </c:pt>
                <c:pt idx="7">
                  <c:v>0.12</c:v>
                </c:pt>
                <c:pt idx="8">
                  <c:v>0.2</c:v>
                </c:pt>
                <c:pt idx="9">
                  <c:v>0.2</c:v>
                </c:pt>
                <c:pt idx="10">
                  <c:v>0.1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2EC-4311-8068-B4E91679CA74}"/>
            </c:ext>
          </c:extLst>
        </c:ser>
        <c:ser>
          <c:idx val="8"/>
          <c:order val="3"/>
          <c:tx>
            <c:v>Minimum Boundary</c:v>
          </c:tx>
          <c:spPr>
            <a:ln>
              <a:solidFill>
                <a:sysClr val="windowText" lastClr="000000">
                  <a:lumMod val="50000"/>
                  <a:lumOff val="50000"/>
                </a:sysClr>
              </a:solidFill>
              <a:prstDash val="lgDash"/>
            </a:ln>
          </c:spPr>
          <c:marker>
            <c:symbol val="none"/>
          </c:marker>
          <c:dPt>
            <c:idx val="1"/>
            <c:bubble3D val="0"/>
            <c:spPr>
              <a:ln>
                <a:noFill/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4-42EC-4311-8068-B4E91679CA74}"/>
              </c:ext>
            </c:extLst>
          </c:dPt>
          <c:dPt>
            <c:idx val="2"/>
            <c:bubble3D val="0"/>
            <c:spPr>
              <a:ln>
                <a:noFill/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5-42EC-4311-8068-B4E91679CA74}"/>
              </c:ext>
            </c:extLst>
          </c:dPt>
          <c:dPt>
            <c:idx val="7"/>
            <c:bubble3D val="0"/>
            <c:spPr>
              <a:ln>
                <a:noFill/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6-42EC-4311-8068-B4E91679CA74}"/>
              </c:ext>
            </c:extLst>
          </c:dPt>
          <c:dPt>
            <c:idx val="11"/>
            <c:bubble3D val="0"/>
            <c:spPr>
              <a:ln>
                <a:noFill/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7-42EC-4311-8068-B4E91679CA74}"/>
              </c:ext>
            </c:extLst>
          </c:dPt>
          <c:cat>
            <c:strRef>
              <c:f>'Mix Design'!$B$39:$B$50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cat>
          <c:val>
            <c:numRef>
              <c:f>'Mix Design'!$F$39:$F$50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</c:v>
                </c:pt>
                <c:pt idx="7">
                  <c:v>0</c:v>
                </c:pt>
                <c:pt idx="8">
                  <c:v>0.04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2EC-4311-8068-B4E91679C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14606864"/>
        <c:axId val="-714609584"/>
      </c:lineChart>
      <c:scatterChart>
        <c:scatterStyle val="lineMarker"/>
        <c:varyColors val="0"/>
        <c:ser>
          <c:idx val="2"/>
          <c:order val="1"/>
          <c:tx>
            <c:v>Mix 2</c:v>
          </c:tx>
          <c:spPr>
            <a:ln w="28575">
              <a:noFill/>
            </a:ln>
          </c:spPr>
          <c:xVal>
            <c:strRef>
              <c:f>'Mix Design'!$B$39:$B$50</c:f>
              <c:strCache>
                <c:ptCount val="12"/>
                <c:pt idx="0">
                  <c:v>1.5"</c:v>
                </c:pt>
                <c:pt idx="1">
                  <c:v>1"</c:v>
                </c:pt>
                <c:pt idx="2">
                  <c:v>3/4"</c:v>
                </c:pt>
                <c:pt idx="3">
                  <c:v>1/2"</c:v>
                </c:pt>
                <c:pt idx="4">
                  <c:v>3/8"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'Mix Design'!$I$39:$I$50</c:f>
              <c:numCache>
                <c:formatCode>0.00%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74-4ED7-ABFD-EDBF5DD06139}"/>
            </c:ext>
          </c:extLst>
        </c:ser>
        <c:ser>
          <c:idx val="7"/>
          <c:order val="4"/>
          <c:tx>
            <c:v>Control Fine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'Mix Design'!$F$22</c:f>
              <c:numCache>
                <c:formatCode>0.0%</c:formatCode>
                <c:ptCount val="1"/>
                <c:pt idx="0">
                  <c:v>0.30506505104750409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2EC-4311-8068-B4E91679CA74}"/>
            </c:ext>
          </c:extLst>
        </c:ser>
        <c:ser>
          <c:idx val="10"/>
          <c:order val="5"/>
          <c:tx>
            <c:v>Control 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Lit>
              <c:formatCode>General</c:formatCode>
              <c:ptCount val="1"/>
              <c:pt idx="0">
                <c:v>5</c:v>
              </c:pt>
            </c:numLit>
          </c:xVal>
          <c:yVal>
            <c:numRef>
              <c:f>'Mix Design'!$F$23</c:f>
              <c:numCache>
                <c:formatCode>0%</c:formatCode>
                <c:ptCount val="1"/>
                <c:pt idx="0">
                  <c:v>0.32524091403562994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2EC-4311-8068-B4E91679CA74}"/>
            </c:ext>
          </c:extLst>
        </c:ser>
        <c:ser>
          <c:idx val="0"/>
          <c:order val="6"/>
          <c:tx>
            <c:v>Fine Sand Upper Limit</c:v>
          </c:tx>
          <c:spPr>
            <a:ln w="28575">
              <a:noFill/>
            </a:ln>
          </c:spPr>
          <c:marker>
            <c:symbol val="dash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strRef>
              <c:f>'Mix Design'!$B$50</c:f>
              <c:strCache>
                <c:ptCount val="1"/>
                <c:pt idx="0">
                  <c:v>#200</c:v>
                </c:pt>
              </c:strCache>
            </c:strRef>
          </c:xVal>
          <c:yVal>
            <c:numRef>
              <c:f>'Mix Design'!$F$55</c:f>
              <c:numCache>
                <c:formatCode>0.00%</c:formatCode>
                <c:ptCount val="1"/>
                <c:pt idx="0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BF-4E62-9869-539BED97EA2B}"/>
            </c:ext>
          </c:extLst>
        </c:ser>
        <c:ser>
          <c:idx val="1"/>
          <c:order val="7"/>
          <c:tx>
            <c:v>Fine Sand Lower Limit</c:v>
          </c:tx>
          <c:spPr>
            <a:ln w="28575">
              <a:noFill/>
            </a:ln>
          </c:spPr>
          <c:marker>
            <c:symbol val="dash"/>
            <c:size val="3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strRef>
              <c:f>'Mix Design'!$B$50</c:f>
              <c:strCache>
                <c:ptCount val="1"/>
                <c:pt idx="0">
                  <c:v>#200</c:v>
                </c:pt>
              </c:strCache>
            </c:strRef>
          </c:xVal>
          <c:yVal>
            <c:numRef>
              <c:f>'Mix Design'!$G$55</c:f>
              <c:numCache>
                <c:formatCode>0.00%</c:formatCode>
                <c:ptCount val="1"/>
                <c:pt idx="0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ABF-4E62-9869-539BED97E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218560"/>
        <c:axId val="954238528"/>
      </c:scatterChart>
      <c:catAx>
        <c:axId val="-7146068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-714609584"/>
        <c:crosses val="autoZero"/>
        <c:auto val="1"/>
        <c:lblAlgn val="ctr"/>
        <c:lblOffset val="100"/>
        <c:noMultiLvlLbl val="0"/>
      </c:catAx>
      <c:valAx>
        <c:axId val="-714609584"/>
        <c:scaling>
          <c:orientation val="minMax"/>
          <c:max val="0.4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Retained</a:t>
                </a:r>
              </a:p>
            </c:rich>
          </c:tx>
          <c:overlay val="0"/>
        </c:title>
        <c:numFmt formatCode="0%" sourceLinked="0"/>
        <c:majorTickMark val="in"/>
        <c:minorTickMark val="none"/>
        <c:tickLblPos val="nextTo"/>
        <c:spPr>
          <a:noFill/>
          <a:ln/>
        </c:spPr>
        <c:crossAx val="-714606864"/>
        <c:crosses val="max"/>
        <c:crossBetween val="between"/>
        <c:majorUnit val="5.000000000000001E-2"/>
      </c:valAx>
      <c:valAx>
        <c:axId val="954238528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954218560"/>
        <c:crosses val="max"/>
        <c:crossBetween val="midCat"/>
      </c:valAx>
      <c:valAx>
        <c:axId val="95421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4238528"/>
        <c:crosses val="autoZero"/>
        <c:crossBetween val="midCat"/>
      </c:valAx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0364134409732426"/>
          <c:y val="5.6693507731500219E-2"/>
          <c:w val="0.24803437912993104"/>
          <c:h val="0.20112454983585151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5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1077" l="0.70000000000000062" r="0.70000000000000062" t="0.75000000000001077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10</a:t>
            </a:r>
          </a:p>
        </c:rich>
      </c:tx>
      <c:layout>
        <c:manualLayout>
          <c:xMode val="edge"/>
          <c:yMode val="edge"/>
          <c:x val="0.87277454614078442"/>
          <c:y val="0.13240954580446726"/>
        </c:manualLayout>
      </c:layout>
      <c:overlay val="1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</c:spPr>
    </c:title>
    <c:autoTitleDeleted val="0"/>
    <c:plotArea>
      <c:layout>
        <c:manualLayout>
          <c:layoutTarget val="inner"/>
          <c:xMode val="edge"/>
          <c:yMode val="edge"/>
          <c:x val="0.10749892117202289"/>
          <c:y val="2.0849957265734412E-2"/>
          <c:w val="0.75074051661455687"/>
          <c:h val="0.84329678189763213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Sheet5!$G$47:$G$48</c:f>
              <c:numCache>
                <c:formatCode>0%</c:formatCode>
                <c:ptCount val="2"/>
                <c:pt idx="0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Sheet5!$H$47:$H$48</c:f>
              <c:numCache>
                <c:formatCode>0%</c:formatCode>
                <c:ptCount val="2"/>
                <c:pt idx="0" formatCode="0.0%">
                  <c:v>0.26500000000000001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8-40AB-B9DD-9A4B26EA560C}"/>
            </c:ext>
          </c:extLst>
        </c:ser>
        <c:ser>
          <c:idx val="1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Sheet5!$G$49:$G$50</c:f>
              <c:numCache>
                <c:formatCode>0.00%</c:formatCode>
                <c:ptCount val="2"/>
                <c:pt idx="0" formatCode="0%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Sheet5!$H$49:$H$50</c:f>
              <c:numCache>
                <c:formatCode>0.00%</c:formatCode>
                <c:ptCount val="2"/>
                <c:pt idx="0" formatCode="0%">
                  <c:v>0.38</c:v>
                </c:pt>
                <c:pt idx="1">
                  <c:v>0.46500000000000002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0AB-B9DD-9A4B26EA560C}"/>
            </c:ext>
          </c:extLst>
        </c:ser>
        <c:ser>
          <c:idx val="2"/>
          <c:order val="2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Sheet5!$G$51:$G$52</c:f>
              <c:numCache>
                <c:formatCode>0.00%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Sheet5!$H$51:$H$52</c:f>
              <c:numCache>
                <c:formatCode>0.00%</c:formatCode>
                <c:ptCount val="2"/>
                <c:pt idx="0">
                  <c:v>0.27350000000000002</c:v>
                </c:pt>
                <c:pt idx="1">
                  <c:v>0.38850000000000001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A8-40AB-B9DD-9A4B26EA560C}"/>
            </c:ext>
          </c:extLst>
        </c:ser>
        <c:ser>
          <c:idx val="3"/>
          <c:order val="3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Sheet5!$G$53:$G$54</c:f>
              <c:numCache>
                <c:formatCode>0.00%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Sheet5!$H$53:$H$54</c:f>
              <c:numCache>
                <c:formatCode>0.00%</c:formatCode>
                <c:ptCount val="2"/>
                <c:pt idx="0">
                  <c:v>0.32450000000000001</c:v>
                </c:pt>
                <c:pt idx="1">
                  <c:v>0.4395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A8-40AB-B9DD-9A4B26EA560C}"/>
            </c:ext>
          </c:extLst>
        </c:ser>
        <c:ser>
          <c:idx val="4"/>
          <c:order val="4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Sheet5!$B$49:$B$52</c:f>
              <c:numCache>
                <c:formatCode>0%</c:formatCode>
                <c:ptCount val="4"/>
                <c:pt idx="0">
                  <c:v>0.68</c:v>
                </c:pt>
                <c:pt idx="1">
                  <c:v>0.68</c:v>
                </c:pt>
                <c:pt idx="2">
                  <c:v>0.52</c:v>
                </c:pt>
                <c:pt idx="3">
                  <c:v>0.52</c:v>
                </c:pt>
              </c:numCache>
            </c:numRef>
          </c:xVal>
          <c:yVal>
            <c:numRef>
              <c:f>Sheet5!$C$49:$C$52</c:f>
              <c:numCache>
                <c:formatCode>0%</c:formatCode>
                <c:ptCount val="4"/>
                <c:pt idx="0">
                  <c:v>0.32</c:v>
                </c:pt>
                <c:pt idx="1">
                  <c:v>0.36</c:v>
                </c:pt>
                <c:pt idx="2">
                  <c:v>0.38</c:v>
                </c:pt>
                <c:pt idx="3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A8-40AB-B9DD-9A4B26EA560C}"/>
            </c:ext>
          </c:extLst>
        </c:ser>
        <c:ser>
          <c:idx val="5"/>
          <c:order val="5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Sheet5!$D$49:$D$50</c:f>
              <c:numCache>
                <c:formatCode>0%</c:formatCode>
                <c:ptCount val="2"/>
                <c:pt idx="0">
                  <c:v>0.68</c:v>
                </c:pt>
                <c:pt idx="1">
                  <c:v>0.52</c:v>
                </c:pt>
              </c:numCache>
            </c:numRef>
          </c:xVal>
          <c:yVal>
            <c:numRef>
              <c:f>Sheet5!$E$49:$E$50</c:f>
              <c:numCache>
                <c:formatCode>0%</c:formatCode>
                <c:ptCount val="2"/>
                <c:pt idx="0">
                  <c:v>0.32</c:v>
                </c:pt>
                <c:pt idx="1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A8-40AB-B9DD-9A4B26EA560C}"/>
            </c:ext>
          </c:extLst>
        </c:ser>
        <c:ser>
          <c:idx val="6"/>
          <c:order val="6"/>
          <c:marker>
            <c:spPr>
              <a:solidFill>
                <a:srgbClr val="0070C0"/>
              </a:solidFill>
            </c:spPr>
          </c:marker>
          <c:xVal>
            <c:numRef>
              <c:f>Sheet5!$AG$131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Sheet5!$AG$132</c:f>
              <c:numCache>
                <c:formatCode>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A8-40AB-B9DD-9A4B26EA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14607952"/>
        <c:axId val="-714604144"/>
      </c:scatterChart>
      <c:valAx>
        <c:axId val="-714607952"/>
        <c:scaling>
          <c:orientation val="maxMin"/>
          <c:max val="0.8"/>
          <c:min val="0.30000000000000032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Coarsness Factor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14604144"/>
        <c:crosses val="autoZero"/>
        <c:crossBetween val="midCat"/>
      </c:valAx>
      <c:valAx>
        <c:axId val="-714604144"/>
        <c:scaling>
          <c:orientation val="minMax"/>
          <c:max val="0.5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Workability Factor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-714607952"/>
        <c:crosses val="max"/>
        <c:crossBetween val="midCat"/>
      </c:valAx>
      <c:spPr>
        <a:solidFill>
          <a:schemeClr val="lt1"/>
        </a:solidFill>
        <a:ln w="25400" cap="flat" cmpd="sng" algn="ctr">
          <a:solidFill>
            <a:schemeClr val="accent3"/>
          </a:solidFill>
          <a:prstDash val="solid"/>
        </a:ln>
        <a:effectLst/>
      </c:spPr>
    </c:plotArea>
    <c:plotVisOnly val="1"/>
    <c:dispBlanksAs val="gap"/>
    <c:showDLblsOverMax val="0"/>
  </c:chart>
  <c:printSettings>
    <c:headerFooter/>
    <c:pageMargins b="0.75000000000000722" l="0.70000000000000062" r="0.70000000000000062" t="0.750000000000007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14</a:t>
            </a:r>
          </a:p>
        </c:rich>
      </c:tx>
      <c:layout>
        <c:manualLayout>
          <c:xMode val="edge"/>
          <c:yMode val="edge"/>
          <c:x val="0.87277454614078442"/>
          <c:y val="0.13240954580446726"/>
        </c:manualLayout>
      </c:layout>
      <c:overlay val="1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</c:spPr>
    </c:title>
    <c:autoTitleDeleted val="0"/>
    <c:plotArea>
      <c:layout>
        <c:manualLayout>
          <c:layoutTarget val="inner"/>
          <c:xMode val="edge"/>
          <c:yMode val="edge"/>
          <c:x val="9.8187935572673621E-2"/>
          <c:y val="2.0849957265734412E-2"/>
          <c:w val="0.75074051661455687"/>
          <c:h val="0.84329678189763213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Sheet5!$G$47:$G$48</c:f>
              <c:numCache>
                <c:formatCode>0%</c:formatCode>
                <c:ptCount val="2"/>
                <c:pt idx="0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Sheet5!$H$47:$H$48</c:f>
              <c:numCache>
                <c:formatCode>0%</c:formatCode>
                <c:ptCount val="2"/>
                <c:pt idx="0" formatCode="0.0%">
                  <c:v>0.26500000000000001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9-4AF4-B3A0-698DFB1923E0}"/>
            </c:ext>
          </c:extLst>
        </c:ser>
        <c:ser>
          <c:idx val="1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Sheet5!$G$49:$G$50</c:f>
              <c:numCache>
                <c:formatCode>0.00%</c:formatCode>
                <c:ptCount val="2"/>
                <c:pt idx="0" formatCode="0%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Sheet5!$H$49:$H$50</c:f>
              <c:numCache>
                <c:formatCode>0.00%</c:formatCode>
                <c:ptCount val="2"/>
                <c:pt idx="0" formatCode="0%">
                  <c:v>0.38</c:v>
                </c:pt>
                <c:pt idx="1">
                  <c:v>0.46500000000000002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19-4AF4-B3A0-698DFB1923E0}"/>
            </c:ext>
          </c:extLst>
        </c:ser>
        <c:ser>
          <c:idx val="2"/>
          <c:order val="2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Sheet5!$G$51:$G$52</c:f>
              <c:numCache>
                <c:formatCode>0.00%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Sheet5!$H$51:$H$52</c:f>
              <c:numCache>
                <c:formatCode>0.00%</c:formatCode>
                <c:ptCount val="2"/>
                <c:pt idx="0">
                  <c:v>0.27350000000000002</c:v>
                </c:pt>
                <c:pt idx="1">
                  <c:v>0.38850000000000001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19-4AF4-B3A0-698DFB1923E0}"/>
            </c:ext>
          </c:extLst>
        </c:ser>
        <c:ser>
          <c:idx val="3"/>
          <c:order val="3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Sheet5!$G$53:$G$54</c:f>
              <c:numCache>
                <c:formatCode>0.00%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Sheet5!$H$53:$H$54</c:f>
              <c:numCache>
                <c:formatCode>0.00%</c:formatCode>
                <c:ptCount val="2"/>
                <c:pt idx="0">
                  <c:v>0.32450000000000001</c:v>
                </c:pt>
                <c:pt idx="1">
                  <c:v>0.4395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19-4AF4-B3A0-698DFB1923E0}"/>
            </c:ext>
          </c:extLst>
        </c:ser>
        <c:ser>
          <c:idx val="4"/>
          <c:order val="4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Sheet5!$B$49:$B$52</c:f>
              <c:numCache>
                <c:formatCode>0%</c:formatCode>
                <c:ptCount val="4"/>
                <c:pt idx="0">
                  <c:v>0.68</c:v>
                </c:pt>
                <c:pt idx="1">
                  <c:v>0.68</c:v>
                </c:pt>
                <c:pt idx="2">
                  <c:v>0.52</c:v>
                </c:pt>
                <c:pt idx="3">
                  <c:v>0.52</c:v>
                </c:pt>
              </c:numCache>
            </c:numRef>
          </c:xVal>
          <c:yVal>
            <c:numRef>
              <c:f>Sheet5!$C$49:$C$52</c:f>
              <c:numCache>
                <c:formatCode>0%</c:formatCode>
                <c:ptCount val="4"/>
                <c:pt idx="0">
                  <c:v>0.32</c:v>
                </c:pt>
                <c:pt idx="1">
                  <c:v>0.36</c:v>
                </c:pt>
                <c:pt idx="2">
                  <c:v>0.38</c:v>
                </c:pt>
                <c:pt idx="3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19-4AF4-B3A0-698DFB1923E0}"/>
            </c:ext>
          </c:extLst>
        </c:ser>
        <c:ser>
          <c:idx val="5"/>
          <c:order val="5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Sheet5!$D$49:$D$50</c:f>
              <c:numCache>
                <c:formatCode>0%</c:formatCode>
                <c:ptCount val="2"/>
                <c:pt idx="0">
                  <c:v>0.68</c:v>
                </c:pt>
                <c:pt idx="1">
                  <c:v>0.52</c:v>
                </c:pt>
              </c:numCache>
            </c:numRef>
          </c:xVal>
          <c:yVal>
            <c:numRef>
              <c:f>Sheet5!$E$49:$E$50</c:f>
              <c:numCache>
                <c:formatCode>0%</c:formatCode>
                <c:ptCount val="2"/>
                <c:pt idx="0">
                  <c:v>0.32</c:v>
                </c:pt>
                <c:pt idx="1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19-4AF4-B3A0-698DFB1923E0}"/>
            </c:ext>
          </c:extLst>
        </c:ser>
        <c:ser>
          <c:idx val="6"/>
          <c:order val="6"/>
          <c:marker>
            <c:spPr>
              <a:solidFill>
                <a:srgbClr val="0070C0"/>
              </a:solidFill>
            </c:spPr>
          </c:marker>
          <c:xVal>
            <c:numRef>
              <c:f>Sheet5!$AG$159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Sheet5!$AG$160</c:f>
              <c:numCache>
                <c:formatCode>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19-4AF4-B3A0-698DFB192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14615024"/>
        <c:axId val="-714612848"/>
      </c:scatterChart>
      <c:valAx>
        <c:axId val="-714615024"/>
        <c:scaling>
          <c:orientation val="maxMin"/>
          <c:max val="0.8"/>
          <c:min val="0.30000000000000032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Coarsness Factor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14612848"/>
        <c:crosses val="autoZero"/>
        <c:crossBetween val="midCat"/>
      </c:valAx>
      <c:valAx>
        <c:axId val="-714612848"/>
        <c:scaling>
          <c:orientation val="minMax"/>
          <c:max val="0.5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Workability Factor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-714615024"/>
        <c:crosses val="max"/>
        <c:crossBetween val="midCat"/>
      </c:valAx>
      <c:spPr>
        <a:solidFill>
          <a:schemeClr val="lt1"/>
        </a:solidFill>
        <a:ln w="25400" cap="flat" cmpd="sng" algn="ctr">
          <a:solidFill>
            <a:schemeClr val="accent3"/>
          </a:solidFill>
          <a:prstDash val="solid"/>
        </a:ln>
        <a:effectLst/>
      </c:spPr>
    </c:plotArea>
    <c:plotVisOnly val="1"/>
    <c:dispBlanksAs val="gap"/>
    <c:showDLblsOverMax val="0"/>
  </c:chart>
  <c:printSettings>
    <c:headerFooter/>
    <c:pageMargins b="0.75000000000000722" l="0.70000000000000062" r="0.70000000000000062" t="0.750000000000007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15</a:t>
            </a:r>
          </a:p>
        </c:rich>
      </c:tx>
      <c:layout>
        <c:manualLayout>
          <c:xMode val="edge"/>
          <c:yMode val="edge"/>
          <c:x val="0.87277454614078476"/>
          <c:y val="0.13240954580446732"/>
        </c:manualLayout>
      </c:layout>
      <c:overlay val="1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</c:spPr>
    </c:title>
    <c:autoTitleDeleted val="0"/>
    <c:plotArea>
      <c:layout>
        <c:manualLayout>
          <c:layoutTarget val="inner"/>
          <c:xMode val="edge"/>
          <c:yMode val="edge"/>
          <c:x val="9.818793557267369E-2"/>
          <c:y val="2.0849957265734412E-2"/>
          <c:w val="0.75074051661455754"/>
          <c:h val="0.84329678189763169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Sheet5!$G$47:$G$48</c:f>
              <c:numCache>
                <c:formatCode>0%</c:formatCode>
                <c:ptCount val="2"/>
                <c:pt idx="0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Sheet5!$H$47:$H$48</c:f>
              <c:numCache>
                <c:formatCode>0%</c:formatCode>
                <c:ptCount val="2"/>
                <c:pt idx="0" formatCode="0.0%">
                  <c:v>0.26500000000000001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2-4423-B62C-EB312090B812}"/>
            </c:ext>
          </c:extLst>
        </c:ser>
        <c:ser>
          <c:idx val="1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Sheet5!$G$49:$G$50</c:f>
              <c:numCache>
                <c:formatCode>0.00%</c:formatCode>
                <c:ptCount val="2"/>
                <c:pt idx="0" formatCode="0%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Sheet5!$H$49:$H$50</c:f>
              <c:numCache>
                <c:formatCode>0.00%</c:formatCode>
                <c:ptCount val="2"/>
                <c:pt idx="0" formatCode="0%">
                  <c:v>0.38</c:v>
                </c:pt>
                <c:pt idx="1">
                  <c:v>0.46500000000000002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2-4423-B62C-EB312090B812}"/>
            </c:ext>
          </c:extLst>
        </c:ser>
        <c:ser>
          <c:idx val="2"/>
          <c:order val="2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Sheet5!$G$51:$G$52</c:f>
              <c:numCache>
                <c:formatCode>0.00%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Sheet5!$H$51:$H$52</c:f>
              <c:numCache>
                <c:formatCode>0.00%</c:formatCode>
                <c:ptCount val="2"/>
                <c:pt idx="0">
                  <c:v>0.27350000000000002</c:v>
                </c:pt>
                <c:pt idx="1">
                  <c:v>0.38850000000000001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B2-4423-B62C-EB312090B812}"/>
            </c:ext>
          </c:extLst>
        </c:ser>
        <c:ser>
          <c:idx val="3"/>
          <c:order val="3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Sheet5!$G$53:$G$54</c:f>
              <c:numCache>
                <c:formatCode>0.00%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Sheet5!$H$53:$H$54</c:f>
              <c:numCache>
                <c:formatCode>0.00%</c:formatCode>
                <c:ptCount val="2"/>
                <c:pt idx="0">
                  <c:v>0.32450000000000001</c:v>
                </c:pt>
                <c:pt idx="1">
                  <c:v>0.4395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B2-4423-B62C-EB312090B812}"/>
            </c:ext>
          </c:extLst>
        </c:ser>
        <c:ser>
          <c:idx val="4"/>
          <c:order val="4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Sheet5!$B$49:$B$52</c:f>
              <c:numCache>
                <c:formatCode>0%</c:formatCode>
                <c:ptCount val="4"/>
                <c:pt idx="0">
                  <c:v>0.68</c:v>
                </c:pt>
                <c:pt idx="1">
                  <c:v>0.68</c:v>
                </c:pt>
                <c:pt idx="2">
                  <c:v>0.52</c:v>
                </c:pt>
                <c:pt idx="3">
                  <c:v>0.52</c:v>
                </c:pt>
              </c:numCache>
            </c:numRef>
          </c:xVal>
          <c:yVal>
            <c:numRef>
              <c:f>Sheet5!$C$49:$C$52</c:f>
              <c:numCache>
                <c:formatCode>0%</c:formatCode>
                <c:ptCount val="4"/>
                <c:pt idx="0">
                  <c:v>0.32</c:v>
                </c:pt>
                <c:pt idx="1">
                  <c:v>0.36</c:v>
                </c:pt>
                <c:pt idx="2">
                  <c:v>0.38</c:v>
                </c:pt>
                <c:pt idx="3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B2-4423-B62C-EB312090B812}"/>
            </c:ext>
          </c:extLst>
        </c:ser>
        <c:ser>
          <c:idx val="5"/>
          <c:order val="5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Sheet5!$D$49:$D$50</c:f>
              <c:numCache>
                <c:formatCode>0%</c:formatCode>
                <c:ptCount val="2"/>
                <c:pt idx="0">
                  <c:v>0.68</c:v>
                </c:pt>
                <c:pt idx="1">
                  <c:v>0.52</c:v>
                </c:pt>
              </c:numCache>
            </c:numRef>
          </c:xVal>
          <c:yVal>
            <c:numRef>
              <c:f>Sheet5!$E$49:$E$50</c:f>
              <c:numCache>
                <c:formatCode>0%</c:formatCode>
                <c:ptCount val="2"/>
                <c:pt idx="0">
                  <c:v>0.32</c:v>
                </c:pt>
                <c:pt idx="1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B2-4423-B62C-EB312090B812}"/>
            </c:ext>
          </c:extLst>
        </c:ser>
        <c:ser>
          <c:idx val="6"/>
          <c:order val="6"/>
          <c:marker>
            <c:spPr>
              <a:solidFill>
                <a:srgbClr val="0070C0"/>
              </a:solidFill>
            </c:spPr>
          </c:marker>
          <c:xVal>
            <c:numRef>
              <c:f>Sheet5!$AG$187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Sheet5!$AG$188</c:f>
              <c:numCache>
                <c:formatCode>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B2-4423-B62C-EB312090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14611760"/>
        <c:axId val="-714614480"/>
      </c:scatterChart>
      <c:valAx>
        <c:axId val="-714611760"/>
        <c:scaling>
          <c:orientation val="maxMin"/>
          <c:max val="0.8"/>
          <c:min val="0.30000000000000032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Coarsness Factor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14614480"/>
        <c:crosses val="autoZero"/>
        <c:crossBetween val="midCat"/>
      </c:valAx>
      <c:valAx>
        <c:axId val="-714614480"/>
        <c:scaling>
          <c:orientation val="minMax"/>
          <c:max val="0.5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Workability Factor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-714611760"/>
        <c:crosses val="max"/>
        <c:crossBetween val="midCat"/>
      </c:valAx>
      <c:spPr>
        <a:solidFill>
          <a:schemeClr val="lt1"/>
        </a:solidFill>
        <a:ln w="25400" cap="flat" cmpd="sng" algn="ctr">
          <a:solidFill>
            <a:schemeClr val="accent3"/>
          </a:solidFill>
          <a:prstDash val="solid"/>
        </a:ln>
        <a:effectLst/>
      </c:spPr>
    </c:plotArea>
    <c:plotVisOnly val="1"/>
    <c:dispBlanksAs val="gap"/>
    <c:showDLblsOverMax val="0"/>
  </c:chart>
  <c:printSettings>
    <c:headerFooter/>
    <c:pageMargins b="0.75000000000000744" l="0.70000000000000062" r="0.70000000000000062" t="0.75000000000000744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7</a:t>
            </a:r>
          </a:p>
        </c:rich>
      </c:tx>
      <c:layout>
        <c:manualLayout>
          <c:xMode val="edge"/>
          <c:yMode val="edge"/>
          <c:x val="0.87277454614078476"/>
          <c:y val="0.13240954580446732"/>
        </c:manualLayout>
      </c:layout>
      <c:overlay val="1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</c:spPr>
    </c:title>
    <c:autoTitleDeleted val="0"/>
    <c:plotArea>
      <c:layout>
        <c:manualLayout>
          <c:layoutTarget val="inner"/>
          <c:xMode val="edge"/>
          <c:yMode val="edge"/>
          <c:x val="9.818793557267369E-2"/>
          <c:y val="2.0849957265734412E-2"/>
          <c:w val="0.75074051661455754"/>
          <c:h val="0.84329678189763169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Sheet5!$G$47:$G$48</c:f>
              <c:numCache>
                <c:formatCode>0%</c:formatCode>
                <c:ptCount val="2"/>
                <c:pt idx="0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Sheet5!$H$47:$H$48</c:f>
              <c:numCache>
                <c:formatCode>0%</c:formatCode>
                <c:ptCount val="2"/>
                <c:pt idx="0" formatCode="0.0%">
                  <c:v>0.26500000000000001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C-472C-A217-C95A093C59B9}"/>
            </c:ext>
          </c:extLst>
        </c:ser>
        <c:ser>
          <c:idx val="1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Sheet5!$G$49:$G$50</c:f>
              <c:numCache>
                <c:formatCode>0.00%</c:formatCode>
                <c:ptCount val="2"/>
                <c:pt idx="0" formatCode="0%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Sheet5!$H$49:$H$50</c:f>
              <c:numCache>
                <c:formatCode>0.00%</c:formatCode>
                <c:ptCount val="2"/>
                <c:pt idx="0" formatCode="0%">
                  <c:v>0.38</c:v>
                </c:pt>
                <c:pt idx="1">
                  <c:v>0.46500000000000002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7C-472C-A217-C95A093C59B9}"/>
            </c:ext>
          </c:extLst>
        </c:ser>
        <c:ser>
          <c:idx val="2"/>
          <c:order val="2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Sheet5!$G$51:$G$52</c:f>
              <c:numCache>
                <c:formatCode>0.00%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Sheet5!$H$51:$H$52</c:f>
              <c:numCache>
                <c:formatCode>0.00%</c:formatCode>
                <c:ptCount val="2"/>
                <c:pt idx="0">
                  <c:v>0.27350000000000002</c:v>
                </c:pt>
                <c:pt idx="1">
                  <c:v>0.38850000000000001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7C-472C-A217-C95A093C59B9}"/>
            </c:ext>
          </c:extLst>
        </c:ser>
        <c:ser>
          <c:idx val="3"/>
          <c:order val="3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Sheet5!$G$53:$G$54</c:f>
              <c:numCache>
                <c:formatCode>0.00%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Sheet5!$H$53:$H$54</c:f>
              <c:numCache>
                <c:formatCode>0.00%</c:formatCode>
                <c:ptCount val="2"/>
                <c:pt idx="0">
                  <c:v>0.32450000000000001</c:v>
                </c:pt>
                <c:pt idx="1">
                  <c:v>0.4395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7C-472C-A217-C95A093C59B9}"/>
            </c:ext>
          </c:extLst>
        </c:ser>
        <c:ser>
          <c:idx val="4"/>
          <c:order val="4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Sheet5!$B$49:$B$52</c:f>
              <c:numCache>
                <c:formatCode>0%</c:formatCode>
                <c:ptCount val="4"/>
                <c:pt idx="0">
                  <c:v>0.68</c:v>
                </c:pt>
                <c:pt idx="1">
                  <c:v>0.68</c:v>
                </c:pt>
                <c:pt idx="2">
                  <c:v>0.52</c:v>
                </c:pt>
                <c:pt idx="3">
                  <c:v>0.52</c:v>
                </c:pt>
              </c:numCache>
            </c:numRef>
          </c:xVal>
          <c:yVal>
            <c:numRef>
              <c:f>Sheet5!$C$49:$C$52</c:f>
              <c:numCache>
                <c:formatCode>0%</c:formatCode>
                <c:ptCount val="4"/>
                <c:pt idx="0">
                  <c:v>0.32</c:v>
                </c:pt>
                <c:pt idx="1">
                  <c:v>0.36</c:v>
                </c:pt>
                <c:pt idx="2">
                  <c:v>0.38</c:v>
                </c:pt>
                <c:pt idx="3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7C-472C-A217-C95A093C59B9}"/>
            </c:ext>
          </c:extLst>
        </c:ser>
        <c:ser>
          <c:idx val="5"/>
          <c:order val="5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Sheet5!$D$49:$D$50</c:f>
              <c:numCache>
                <c:formatCode>0%</c:formatCode>
                <c:ptCount val="2"/>
                <c:pt idx="0">
                  <c:v>0.68</c:v>
                </c:pt>
                <c:pt idx="1">
                  <c:v>0.52</c:v>
                </c:pt>
              </c:numCache>
            </c:numRef>
          </c:xVal>
          <c:yVal>
            <c:numRef>
              <c:f>Sheet5!$E$49:$E$50</c:f>
              <c:numCache>
                <c:formatCode>0%</c:formatCode>
                <c:ptCount val="2"/>
                <c:pt idx="0">
                  <c:v>0.32</c:v>
                </c:pt>
                <c:pt idx="1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7C-472C-A217-C95A093C59B9}"/>
            </c:ext>
          </c:extLst>
        </c:ser>
        <c:ser>
          <c:idx val="6"/>
          <c:order val="6"/>
          <c:spPr>
            <a:ln w="19050">
              <a:solidFill>
                <a:schemeClr val="tx1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pPr>
              <a:solidFill>
                <a:srgbClr val="0070C0"/>
              </a:solidFill>
              <a:ln w="19050"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Sheet5!$AG$103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Sheet5!$AG$104</c:f>
              <c:numCache>
                <c:formatCode>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7C-472C-A217-C95A093C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14609040"/>
        <c:axId val="-758952688"/>
      </c:scatterChart>
      <c:valAx>
        <c:axId val="-714609040"/>
        <c:scaling>
          <c:orientation val="maxMin"/>
          <c:max val="0.8"/>
          <c:min val="0.30000000000000032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Coarsness Factor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8952688"/>
        <c:crosses val="autoZero"/>
        <c:crossBetween val="midCat"/>
      </c:valAx>
      <c:valAx>
        <c:axId val="-758952688"/>
        <c:scaling>
          <c:orientation val="minMax"/>
          <c:max val="0.5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Workability Factor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-714609040"/>
        <c:crosses val="max"/>
        <c:crossBetween val="midCat"/>
      </c:valAx>
      <c:spPr>
        <a:solidFill>
          <a:schemeClr val="lt1"/>
        </a:solidFill>
        <a:ln w="25400" cap="flat" cmpd="sng" algn="ctr">
          <a:solidFill>
            <a:schemeClr val="accent3"/>
          </a:solidFill>
          <a:prstDash val="solid"/>
        </a:ln>
        <a:effectLst/>
      </c:spPr>
    </c:plotArea>
    <c:plotVisOnly val="1"/>
    <c:dispBlanksAs val="gap"/>
    <c:showDLblsOverMax val="0"/>
  </c:chart>
  <c:printSettings>
    <c:headerFooter/>
    <c:pageMargins b="0.75000000000000744" l="0.70000000000000062" r="0.70000000000000062" t="0.75000000000000744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17</a:t>
            </a:r>
          </a:p>
        </c:rich>
      </c:tx>
      <c:layout>
        <c:manualLayout>
          <c:xMode val="edge"/>
          <c:yMode val="edge"/>
          <c:x val="0.8727745461407852"/>
          <c:y val="0.13240954580446743"/>
        </c:manualLayout>
      </c:layout>
      <c:overlay val="1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</c:spPr>
    </c:title>
    <c:autoTitleDeleted val="0"/>
    <c:plotArea>
      <c:layout>
        <c:manualLayout>
          <c:layoutTarget val="inner"/>
          <c:xMode val="edge"/>
          <c:yMode val="edge"/>
          <c:x val="9.8187935572673746E-2"/>
          <c:y val="2.0849957265734412E-2"/>
          <c:w val="0.75074051661455821"/>
          <c:h val="0.84329678189763135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Sheet5!$G$47:$G$48</c:f>
              <c:numCache>
                <c:formatCode>0%</c:formatCode>
                <c:ptCount val="2"/>
                <c:pt idx="0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Sheet5!$H$47:$H$48</c:f>
              <c:numCache>
                <c:formatCode>0%</c:formatCode>
                <c:ptCount val="2"/>
                <c:pt idx="0" formatCode="0.0%">
                  <c:v>0.26500000000000001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5-4ACA-B5A1-C055D5034E7B}"/>
            </c:ext>
          </c:extLst>
        </c:ser>
        <c:ser>
          <c:idx val="1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Sheet5!$G$49:$G$50</c:f>
              <c:numCache>
                <c:formatCode>0.00%</c:formatCode>
                <c:ptCount val="2"/>
                <c:pt idx="0" formatCode="0%">
                  <c:v>0.8</c:v>
                </c:pt>
                <c:pt idx="1">
                  <c:v>0.3</c:v>
                </c:pt>
              </c:numCache>
            </c:numRef>
          </c:xVal>
          <c:yVal>
            <c:numRef>
              <c:f>Sheet5!$H$49:$H$50</c:f>
              <c:numCache>
                <c:formatCode>0.00%</c:formatCode>
                <c:ptCount val="2"/>
                <c:pt idx="0" formatCode="0%">
                  <c:v>0.38</c:v>
                </c:pt>
                <c:pt idx="1">
                  <c:v>0.46500000000000002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45-4ACA-B5A1-C055D5034E7B}"/>
            </c:ext>
          </c:extLst>
        </c:ser>
        <c:ser>
          <c:idx val="2"/>
          <c:order val="2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Sheet5!$G$51:$G$52</c:f>
              <c:numCache>
                <c:formatCode>0.00%</c:formatCode>
                <c:ptCount val="2"/>
                <c:pt idx="0">
                  <c:v>0.75</c:v>
                </c:pt>
                <c:pt idx="1">
                  <c:v>0.75</c:v>
                </c:pt>
              </c:numCache>
            </c:numRef>
          </c:xVal>
          <c:yVal>
            <c:numRef>
              <c:f>Sheet5!$H$51:$H$52</c:f>
              <c:numCache>
                <c:formatCode>0.00%</c:formatCode>
                <c:ptCount val="2"/>
                <c:pt idx="0">
                  <c:v>0.27350000000000002</c:v>
                </c:pt>
                <c:pt idx="1">
                  <c:v>0.38850000000000001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45-4ACA-B5A1-C055D5034E7B}"/>
            </c:ext>
          </c:extLst>
        </c:ser>
        <c:ser>
          <c:idx val="3"/>
          <c:order val="3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Sheet5!$G$53:$G$54</c:f>
              <c:numCache>
                <c:formatCode>0.00%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Sheet5!$H$53:$H$54</c:f>
              <c:numCache>
                <c:formatCode>0.00%</c:formatCode>
                <c:ptCount val="2"/>
                <c:pt idx="0">
                  <c:v>0.32450000000000001</c:v>
                </c:pt>
                <c:pt idx="1">
                  <c:v>0.4395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45-4ACA-B5A1-C055D5034E7B}"/>
            </c:ext>
          </c:extLst>
        </c:ser>
        <c:ser>
          <c:idx val="4"/>
          <c:order val="4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Sheet5!$B$49:$B$52</c:f>
              <c:numCache>
                <c:formatCode>0%</c:formatCode>
                <c:ptCount val="4"/>
                <c:pt idx="0">
                  <c:v>0.68</c:v>
                </c:pt>
                <c:pt idx="1">
                  <c:v>0.68</c:v>
                </c:pt>
                <c:pt idx="2">
                  <c:v>0.52</c:v>
                </c:pt>
                <c:pt idx="3">
                  <c:v>0.52</c:v>
                </c:pt>
              </c:numCache>
            </c:numRef>
          </c:xVal>
          <c:yVal>
            <c:numRef>
              <c:f>Sheet5!$C$49:$C$52</c:f>
              <c:numCache>
                <c:formatCode>0%</c:formatCode>
                <c:ptCount val="4"/>
                <c:pt idx="0">
                  <c:v>0.32</c:v>
                </c:pt>
                <c:pt idx="1">
                  <c:v>0.36</c:v>
                </c:pt>
                <c:pt idx="2">
                  <c:v>0.38</c:v>
                </c:pt>
                <c:pt idx="3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45-4ACA-B5A1-C055D5034E7B}"/>
            </c:ext>
          </c:extLst>
        </c:ser>
        <c:ser>
          <c:idx val="5"/>
          <c:order val="5"/>
          <c:spPr>
            <a:ln w="25400" cap="flat" cmpd="sng" algn="ctr">
              <a:solidFill>
                <a:schemeClr val="accent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Sheet5!$D$49:$D$50</c:f>
              <c:numCache>
                <c:formatCode>0%</c:formatCode>
                <c:ptCount val="2"/>
                <c:pt idx="0">
                  <c:v>0.68</c:v>
                </c:pt>
                <c:pt idx="1">
                  <c:v>0.52</c:v>
                </c:pt>
              </c:numCache>
            </c:numRef>
          </c:xVal>
          <c:yVal>
            <c:numRef>
              <c:f>Sheet5!$E$49:$E$50</c:f>
              <c:numCache>
                <c:formatCode>0%</c:formatCode>
                <c:ptCount val="2"/>
                <c:pt idx="0">
                  <c:v>0.32</c:v>
                </c:pt>
                <c:pt idx="1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45-4ACA-B5A1-C055D5034E7B}"/>
            </c:ext>
          </c:extLst>
        </c:ser>
        <c:ser>
          <c:idx val="6"/>
          <c:order val="6"/>
          <c:marker>
            <c:spPr>
              <a:solidFill>
                <a:srgbClr val="0070C0"/>
              </a:solidFill>
            </c:spPr>
          </c:marker>
          <c:xVal>
            <c:numRef>
              <c:f>Sheet5!$AG$216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Sheet5!$AG$217</c:f>
              <c:numCache>
                <c:formatCode>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45-4ACA-B5A1-C055D5034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8958128"/>
        <c:axId val="-758959760"/>
      </c:scatterChart>
      <c:valAx>
        <c:axId val="-758958128"/>
        <c:scaling>
          <c:orientation val="maxMin"/>
          <c:max val="0.8"/>
          <c:min val="0.30000000000000032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Coarsness Factor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8959760"/>
        <c:crosses val="autoZero"/>
        <c:crossBetween val="midCat"/>
      </c:valAx>
      <c:valAx>
        <c:axId val="-758959760"/>
        <c:scaling>
          <c:orientation val="minMax"/>
          <c:max val="0.5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Workability Factor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-758958128"/>
        <c:crosses val="max"/>
        <c:crossBetween val="midCat"/>
      </c:valAx>
      <c:spPr>
        <a:solidFill>
          <a:schemeClr val="lt1"/>
        </a:solidFill>
        <a:ln w="25400" cap="flat" cmpd="sng" algn="ctr">
          <a:solidFill>
            <a:schemeClr val="accent3"/>
          </a:solidFill>
          <a:prstDash val="solid"/>
        </a:ln>
        <a:effectLst/>
      </c:spPr>
    </c:plotArea>
    <c:plotVisOnly val="1"/>
    <c:dispBlanksAs val="gap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2</a:t>
            </a:r>
          </a:p>
        </c:rich>
      </c:tx>
      <c:layout>
        <c:manualLayout>
          <c:xMode val="edge"/>
          <c:yMode val="edge"/>
          <c:x val="0.39340041607147841"/>
          <c:y val="1.181833614081822E-2"/>
        </c:manualLayout>
      </c:layout>
      <c:overlay val="1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5.0292346415769476E-2"/>
          <c:y val="2.0936970043233846E-2"/>
          <c:w val="0.71077786200104165"/>
          <c:h val="0.91304929634138343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strRef>
              <c:f>Sheet5!$H$61:$H$72</c:f>
              <c:strCache>
                <c:ptCount val="12"/>
                <c:pt idx="0">
                  <c:v>1.5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0.375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Sheet5!$J$61:$J$72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27-42E0-B337-B3A35F7A22B3}"/>
            </c:ext>
          </c:extLst>
        </c:ser>
        <c:ser>
          <c:idx val="1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Sheet5!$BE$59:$BE$62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Sheet5!$BF$59:$BF$62</c:f>
              <c:numCache>
                <c:formatCode>0%</c:formatCode>
                <c:ptCount val="4"/>
                <c:pt idx="0">
                  <c:v>0</c:v>
                </c:pt>
                <c:pt idx="1">
                  <c:v>0.18</c:v>
                </c:pt>
                <c:pt idx="2">
                  <c:v>0.18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27-42E0-B337-B3A35F7A22B3}"/>
            </c:ext>
          </c:extLst>
        </c:ser>
        <c:ser>
          <c:idx val="2"/>
          <c:order val="2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Sheet5!$BE$63:$BE$66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Sheet5!$BF$63:$BF$66</c:f>
              <c:numCache>
                <c:formatCode>0%</c:formatCode>
                <c:ptCount val="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27-42E0-B337-B3A35F7A2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8947248"/>
        <c:axId val="-758953776"/>
      </c:scatterChart>
      <c:valAx>
        <c:axId val="-758947248"/>
        <c:scaling>
          <c:orientation val="maxMin"/>
        </c:scaling>
        <c:delete val="0"/>
        <c:axPos val="b"/>
        <c:majorGridlines/>
        <c:numFmt formatCode="@" sourceLinked="0"/>
        <c:majorTickMark val="out"/>
        <c:minorTickMark val="none"/>
        <c:tickLblPos val="none"/>
        <c:crossAx val="-758953776"/>
        <c:crosses val="autoZero"/>
        <c:crossBetween val="midCat"/>
      </c:valAx>
      <c:valAx>
        <c:axId val="-758953776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</a:t>
                </a:r>
                <a:r>
                  <a:rPr lang="en-US" sz="1200" baseline="0"/>
                  <a:t> Retained</a:t>
                </a:r>
                <a:endParaRPr lang="en-US" sz="1200"/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-7589472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7</a:t>
            </a:r>
          </a:p>
        </c:rich>
      </c:tx>
      <c:layout>
        <c:manualLayout>
          <c:xMode val="edge"/>
          <c:yMode val="edge"/>
          <c:x val="0.39340041607147841"/>
          <c:y val="1.181833614081822E-2"/>
        </c:manualLayout>
      </c:layout>
      <c:overlay val="1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5.0292346415769476E-2"/>
          <c:y val="2.0936970043233846E-2"/>
          <c:w val="0.71077786200104165"/>
          <c:h val="0.91304929634138343"/>
        </c:manualLayout>
      </c:layout>
      <c:scatterChart>
        <c:scatterStyle val="lineMarker"/>
        <c:varyColors val="0"/>
        <c:ser>
          <c:idx val="1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Sheet5!$BE$59:$BE$62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Sheet5!$BF$59:$BF$62</c:f>
              <c:numCache>
                <c:formatCode>0%</c:formatCode>
                <c:ptCount val="4"/>
                <c:pt idx="0">
                  <c:v>0</c:v>
                </c:pt>
                <c:pt idx="1">
                  <c:v>0.18</c:v>
                </c:pt>
                <c:pt idx="2">
                  <c:v>0.18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3-4072-AF6E-5968B6DF9074}"/>
            </c:ext>
          </c:extLst>
        </c:ser>
        <c:ser>
          <c:idx val="2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Sheet5!$BE$63:$BE$66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Sheet5!$BF$63:$BF$66</c:f>
              <c:numCache>
                <c:formatCode>0%</c:formatCode>
                <c:ptCount val="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43-4072-AF6E-5968B6DF9074}"/>
            </c:ext>
          </c:extLst>
        </c:ser>
        <c:ser>
          <c:idx val="0"/>
          <c:order val="2"/>
          <c:marker>
            <c:symbol val="none"/>
          </c:marker>
          <c:xVal>
            <c:strRef>
              <c:f>Sheet5!$H$87:$H$98</c:f>
              <c:strCache>
                <c:ptCount val="12"/>
                <c:pt idx="0">
                  <c:v>1.5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0.375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Sheet5!$J$87:$J$98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43-4072-AF6E-5968B6DF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12906064"/>
        <c:axId val="-712905520"/>
      </c:scatterChart>
      <c:valAx>
        <c:axId val="-712906064"/>
        <c:scaling>
          <c:orientation val="maxMin"/>
        </c:scaling>
        <c:delete val="0"/>
        <c:axPos val="b"/>
        <c:majorGridlines/>
        <c:numFmt formatCode="@" sourceLinked="0"/>
        <c:majorTickMark val="out"/>
        <c:minorTickMark val="none"/>
        <c:tickLblPos val="none"/>
        <c:crossAx val="-712905520"/>
        <c:crosses val="autoZero"/>
        <c:crossBetween val="midCat"/>
      </c:valAx>
      <c:valAx>
        <c:axId val="-712905520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</a:t>
                </a:r>
                <a:r>
                  <a:rPr lang="en-US" sz="1200" baseline="0"/>
                  <a:t> Retained</a:t>
                </a:r>
                <a:endParaRPr lang="en-US" sz="1200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12906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10</a:t>
            </a:r>
          </a:p>
        </c:rich>
      </c:tx>
      <c:layout>
        <c:manualLayout>
          <c:xMode val="edge"/>
          <c:yMode val="edge"/>
          <c:x val="0.39340041607147841"/>
          <c:y val="1.181833614081822E-2"/>
        </c:manualLayout>
      </c:layout>
      <c:overlay val="1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5.0292346415769476E-2"/>
          <c:y val="2.0936970043233846E-2"/>
          <c:w val="0.71077786200104165"/>
          <c:h val="0.91304929634138343"/>
        </c:manualLayout>
      </c:layout>
      <c:scatterChart>
        <c:scatterStyle val="lineMarker"/>
        <c:varyColors val="0"/>
        <c:ser>
          <c:idx val="1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Sheet5!$BE$59:$BE$62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Sheet5!$BF$59:$BF$62</c:f>
              <c:numCache>
                <c:formatCode>0%</c:formatCode>
                <c:ptCount val="4"/>
                <c:pt idx="0">
                  <c:v>0</c:v>
                </c:pt>
                <c:pt idx="1">
                  <c:v>0.18</c:v>
                </c:pt>
                <c:pt idx="2">
                  <c:v>0.18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9-45D4-8A29-8374D9357701}"/>
            </c:ext>
          </c:extLst>
        </c:ser>
        <c:ser>
          <c:idx val="2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Sheet5!$BE$63:$BE$66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Sheet5!$BF$63:$BF$66</c:f>
              <c:numCache>
                <c:formatCode>0%</c:formatCode>
                <c:ptCount val="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9-45D4-8A29-8374D9357701}"/>
            </c:ext>
          </c:extLst>
        </c:ser>
        <c:ser>
          <c:idx val="0"/>
          <c:order val="2"/>
          <c:marker>
            <c:symbol val="none"/>
          </c:marker>
          <c:xVal>
            <c:strRef>
              <c:f>Sheet5!$H$114:$H$125</c:f>
              <c:strCache>
                <c:ptCount val="12"/>
                <c:pt idx="0">
                  <c:v>1.5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0.375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Sheet5!$J$114:$J$125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59-45D4-8A29-8374D9357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12912048"/>
        <c:axId val="-1035384288"/>
      </c:scatterChart>
      <c:valAx>
        <c:axId val="-712912048"/>
        <c:scaling>
          <c:orientation val="maxMin"/>
        </c:scaling>
        <c:delete val="0"/>
        <c:axPos val="b"/>
        <c:majorGridlines/>
        <c:numFmt formatCode="@" sourceLinked="0"/>
        <c:majorTickMark val="out"/>
        <c:minorTickMark val="none"/>
        <c:tickLblPos val="none"/>
        <c:crossAx val="-1035384288"/>
        <c:crosses val="autoZero"/>
        <c:crossBetween val="midCat"/>
      </c:valAx>
      <c:valAx>
        <c:axId val="-1035384288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</a:t>
                </a:r>
                <a:r>
                  <a:rPr lang="en-US" sz="1200" baseline="0"/>
                  <a:t> Retained</a:t>
                </a:r>
                <a:endParaRPr lang="en-US" sz="1200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12912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14</a:t>
            </a:r>
          </a:p>
        </c:rich>
      </c:tx>
      <c:layout>
        <c:manualLayout>
          <c:xMode val="edge"/>
          <c:yMode val="edge"/>
          <c:x val="0.39340041607147841"/>
          <c:y val="1.181833614081822E-2"/>
        </c:manualLayout>
      </c:layout>
      <c:overlay val="1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5.0292346415769476E-2"/>
          <c:y val="2.0936970043233846E-2"/>
          <c:w val="0.71077786200104165"/>
          <c:h val="0.91304929634138343"/>
        </c:manualLayout>
      </c:layout>
      <c:scatterChart>
        <c:scatterStyle val="lineMarker"/>
        <c:varyColors val="0"/>
        <c:ser>
          <c:idx val="1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Sheet5!$BE$59:$BE$62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Sheet5!$BF$59:$BF$62</c:f>
              <c:numCache>
                <c:formatCode>0%</c:formatCode>
                <c:ptCount val="4"/>
                <c:pt idx="0">
                  <c:v>0</c:v>
                </c:pt>
                <c:pt idx="1">
                  <c:v>0.18</c:v>
                </c:pt>
                <c:pt idx="2">
                  <c:v>0.18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3-4821-A478-45130255B221}"/>
            </c:ext>
          </c:extLst>
        </c:ser>
        <c:ser>
          <c:idx val="2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Sheet5!$BE$63:$BE$66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Sheet5!$BF$63:$BF$66</c:f>
              <c:numCache>
                <c:formatCode>0%</c:formatCode>
                <c:ptCount val="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83-4821-A478-45130255B221}"/>
            </c:ext>
          </c:extLst>
        </c:ser>
        <c:ser>
          <c:idx val="0"/>
          <c:order val="2"/>
          <c:marker>
            <c:symbol val="none"/>
          </c:marker>
          <c:xVal>
            <c:strRef>
              <c:f>Sheet5!$H$141:$H$152</c:f>
              <c:strCache>
                <c:ptCount val="12"/>
                <c:pt idx="0">
                  <c:v>1.5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0.375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Sheet5!$J$141:$J$152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83-4821-A478-45130255B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43015536"/>
        <c:axId val="-943013904"/>
      </c:scatterChart>
      <c:valAx>
        <c:axId val="-943015536"/>
        <c:scaling>
          <c:orientation val="maxMin"/>
        </c:scaling>
        <c:delete val="0"/>
        <c:axPos val="b"/>
        <c:majorGridlines/>
        <c:numFmt formatCode="@" sourceLinked="0"/>
        <c:majorTickMark val="out"/>
        <c:minorTickMark val="none"/>
        <c:tickLblPos val="none"/>
        <c:crossAx val="-943013904"/>
        <c:crosses val="autoZero"/>
        <c:crossBetween val="midCat"/>
      </c:valAx>
      <c:valAx>
        <c:axId val="-943013904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</a:t>
                </a:r>
                <a:r>
                  <a:rPr lang="en-US" sz="1200" baseline="0"/>
                  <a:t> Retained</a:t>
                </a:r>
                <a:endParaRPr lang="en-US" sz="1200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9430155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15</a:t>
            </a:r>
          </a:p>
        </c:rich>
      </c:tx>
      <c:layout>
        <c:manualLayout>
          <c:xMode val="edge"/>
          <c:yMode val="edge"/>
          <c:x val="0.39340041607147841"/>
          <c:y val="1.181833614081822E-2"/>
        </c:manualLayout>
      </c:layout>
      <c:overlay val="1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5.0292346415769476E-2"/>
          <c:y val="2.0936970043233846E-2"/>
          <c:w val="0.71077786200104165"/>
          <c:h val="0.91304929634138343"/>
        </c:manualLayout>
      </c:layout>
      <c:scatterChart>
        <c:scatterStyle val="lineMarker"/>
        <c:varyColors val="0"/>
        <c:ser>
          <c:idx val="1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Sheet5!$BE$59:$BE$62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Sheet5!$BF$59:$BF$62</c:f>
              <c:numCache>
                <c:formatCode>0%</c:formatCode>
                <c:ptCount val="4"/>
                <c:pt idx="0">
                  <c:v>0</c:v>
                </c:pt>
                <c:pt idx="1">
                  <c:v>0.18</c:v>
                </c:pt>
                <c:pt idx="2">
                  <c:v>0.18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B-47E3-BAE1-75DAAF027956}"/>
            </c:ext>
          </c:extLst>
        </c:ser>
        <c:ser>
          <c:idx val="2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Sheet5!$BE$63:$BE$66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Sheet5!$BF$63:$BF$66</c:f>
              <c:numCache>
                <c:formatCode>0%</c:formatCode>
                <c:ptCount val="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B-47E3-BAE1-75DAAF027956}"/>
            </c:ext>
          </c:extLst>
        </c:ser>
        <c:ser>
          <c:idx val="0"/>
          <c:order val="2"/>
          <c:marker>
            <c:symbol val="none"/>
          </c:marker>
          <c:xVal>
            <c:strRef>
              <c:f>Sheet5!$H$169:$H$180</c:f>
              <c:strCache>
                <c:ptCount val="12"/>
                <c:pt idx="0">
                  <c:v>1.5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0.375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Sheet5!$J$169:$J$180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B-47E3-BAE1-75DAAF02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201216"/>
        <c:axId val="-753202304"/>
      </c:scatterChart>
      <c:valAx>
        <c:axId val="-753201216"/>
        <c:scaling>
          <c:orientation val="maxMin"/>
        </c:scaling>
        <c:delete val="0"/>
        <c:axPos val="b"/>
        <c:majorGridlines/>
        <c:numFmt formatCode="@" sourceLinked="0"/>
        <c:majorTickMark val="out"/>
        <c:minorTickMark val="none"/>
        <c:tickLblPos val="none"/>
        <c:crossAx val="-753202304"/>
        <c:crosses val="autoZero"/>
        <c:crossBetween val="midCat"/>
      </c:valAx>
      <c:valAx>
        <c:axId val="-753202304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</a:t>
                </a:r>
                <a:r>
                  <a:rPr lang="en-US" sz="1200" baseline="0"/>
                  <a:t> Retained</a:t>
                </a:r>
                <a:endParaRPr lang="en-US" sz="1200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2012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 17</a:t>
            </a:r>
          </a:p>
        </c:rich>
      </c:tx>
      <c:layout>
        <c:manualLayout>
          <c:xMode val="edge"/>
          <c:yMode val="edge"/>
          <c:x val="0.39873380245196116"/>
          <c:y val="8.5262283072542536E-3"/>
        </c:manualLayout>
      </c:layout>
      <c:overlay val="1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5.0292346415769476E-2"/>
          <c:y val="2.0936970043233846E-2"/>
          <c:w val="0.71077786200104165"/>
          <c:h val="0.91304929634138343"/>
        </c:manualLayout>
      </c:layout>
      <c:scatterChart>
        <c:scatterStyle val="lineMarker"/>
        <c:varyColors val="0"/>
        <c:ser>
          <c:idx val="1"/>
          <c:order val="0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Sheet5!$BE$59:$BE$62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</c:numCache>
            </c:numRef>
          </c:xVal>
          <c:yVal>
            <c:numRef>
              <c:f>Sheet5!$BF$59:$BF$62</c:f>
              <c:numCache>
                <c:formatCode>0%</c:formatCode>
                <c:ptCount val="4"/>
                <c:pt idx="0">
                  <c:v>0</c:v>
                </c:pt>
                <c:pt idx="1">
                  <c:v>0.18</c:v>
                </c:pt>
                <c:pt idx="2">
                  <c:v>0.18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2-41B7-A65C-F999B618663E}"/>
            </c:ext>
          </c:extLst>
        </c:ser>
        <c:ser>
          <c:idx val="2"/>
          <c:order val="1"/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Sheet5!$BE$63:$BE$66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xVal>
          <c:yVal>
            <c:numRef>
              <c:f>Sheet5!$BF$63:$BF$66</c:f>
              <c:numCache>
                <c:formatCode>0%</c:formatCode>
                <c:ptCount val="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2-41B7-A65C-F999B618663E}"/>
            </c:ext>
          </c:extLst>
        </c:ser>
        <c:ser>
          <c:idx val="0"/>
          <c:order val="2"/>
          <c:marker>
            <c:symbol val="none"/>
          </c:marker>
          <c:xVal>
            <c:strRef>
              <c:f>Sheet5!$H$198:$H$209</c:f>
              <c:strCache>
                <c:ptCount val="12"/>
                <c:pt idx="0">
                  <c:v>1.5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0.375</c:v>
                </c:pt>
                <c:pt idx="5">
                  <c:v>#4</c:v>
                </c:pt>
                <c:pt idx="6">
                  <c:v>#8</c:v>
                </c:pt>
                <c:pt idx="7">
                  <c:v>#16</c:v>
                </c:pt>
                <c:pt idx="8">
                  <c:v>#30</c:v>
                </c:pt>
                <c:pt idx="9">
                  <c:v>#50</c:v>
                </c:pt>
                <c:pt idx="10">
                  <c:v>#100</c:v>
                </c:pt>
                <c:pt idx="11">
                  <c:v>#200</c:v>
                </c:pt>
              </c:strCache>
            </c:strRef>
          </c:xVal>
          <c:yVal>
            <c:numRef>
              <c:f>Sheet5!$J$198:$J$209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62-41B7-A65C-F999B618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193056"/>
        <c:axId val="-753192512"/>
      </c:scatterChart>
      <c:valAx>
        <c:axId val="-753193056"/>
        <c:scaling>
          <c:orientation val="maxMin"/>
        </c:scaling>
        <c:delete val="0"/>
        <c:axPos val="b"/>
        <c:majorGridlines/>
        <c:numFmt formatCode="@" sourceLinked="0"/>
        <c:majorTickMark val="out"/>
        <c:minorTickMark val="none"/>
        <c:tickLblPos val="none"/>
        <c:crossAx val="-753192512"/>
        <c:crosses val="autoZero"/>
        <c:crossBetween val="midCat"/>
      </c:valAx>
      <c:valAx>
        <c:axId val="-753192512"/>
        <c:scaling>
          <c:orientation val="minMax"/>
        </c:scaling>
        <c:delete val="0"/>
        <c:axPos val="r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</a:t>
                </a:r>
                <a:r>
                  <a:rPr lang="en-US" sz="1200" baseline="0"/>
                  <a:t> Retained</a:t>
                </a:r>
                <a:endParaRPr lang="en-US" sz="1200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1930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</a:t>
            </a:r>
            <a:r>
              <a:rPr lang="en-US" baseline="0"/>
              <a:t> 2</a:t>
            </a:r>
            <a:endParaRPr lang="en-US"/>
          </a:p>
        </c:rich>
      </c:tx>
      <c:layout>
        <c:manualLayout>
          <c:xMode val="edge"/>
          <c:yMode val="edge"/>
          <c:x val="0.38211895483675923"/>
          <c:y val="2.8368786405096769E-2"/>
        </c:manualLayout>
      </c:layout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7.1310374459421191E-2"/>
          <c:y val="4.7209987076488526E-2"/>
          <c:w val="0.67990883536009505"/>
          <c:h val="0.86756713103169758"/>
        </c:manualLayout>
      </c:layout>
      <c:scatterChart>
        <c:scatterStyle val="lineMarker"/>
        <c:varyColors val="0"/>
        <c:ser>
          <c:idx val="1"/>
          <c:order val="0"/>
          <c:tx>
            <c:v>Max Density Line</c:v>
          </c:tx>
          <c:marker>
            <c:symbol val="none"/>
          </c:marker>
          <c:xVal>
            <c:numRef>
              <c:f>Sheet5!$L$63:$L$64</c:f>
              <c:numCache>
                <c:formatCode>General</c:formatCode>
                <c:ptCount val="2"/>
                <c:pt idx="0" formatCode="0.00">
                  <c:v>95.295634032720628</c:v>
                </c:pt>
                <c:pt idx="1">
                  <c:v>0</c:v>
                </c:pt>
              </c:numCache>
            </c:numRef>
          </c:xVal>
          <c:yVal>
            <c:numRef>
              <c:f>Sheet5!$M$63:$M$64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C-4460-B840-FB9AB2FF33E2}"/>
            </c:ext>
          </c:extLst>
        </c:ser>
        <c:ser>
          <c:idx val="2"/>
          <c:order val="1"/>
          <c:tx>
            <c:v>High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84.224631674288489</c:v>
                </c:pt>
              </c:numCache>
            </c:numRef>
          </c:xVal>
          <c:yVal>
            <c:numRef>
              <c:f>Sheet5!$M$67:$M$68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AC-4460-B840-FB9AB2FF33E2}"/>
            </c:ext>
          </c:extLst>
        </c:ser>
        <c:ser>
          <c:idx val="3"/>
          <c:order val="2"/>
          <c:tx>
            <c:v>Low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Sheet5!$L$71:$L$72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114.37051336098466</c:v>
                </c:pt>
              </c:numCache>
            </c:numRef>
          </c:xVal>
          <c:yVal>
            <c:numRef>
              <c:f>Sheet5!$M$71:$M$72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AC-4460-B840-FB9AB2FF33E2}"/>
            </c:ext>
          </c:extLst>
        </c:ser>
        <c:ser>
          <c:idx val="0"/>
          <c:order val="3"/>
          <c:tx>
            <c:v>Combined</c:v>
          </c:tx>
          <c:marker>
            <c:symbol val="none"/>
          </c:marker>
          <c:xVal>
            <c:numRef>
              <c:f>Sheet5!$E$59:$E$70</c:f>
              <c:numCache>
                <c:formatCode>0.00</c:formatCode>
                <c:ptCount val="12"/>
                <c:pt idx="0">
                  <c:v>114.37051336098466</c:v>
                </c:pt>
                <c:pt idx="1">
                  <c:v>95.295634032720628</c:v>
                </c:pt>
                <c:pt idx="2">
                  <c:v>84.224631674288489</c:v>
                </c:pt>
                <c:pt idx="3">
                  <c:v>69.760487336687731</c:v>
                </c:pt>
                <c:pt idx="4">
                  <c:v>61.656039240307337</c:v>
                </c:pt>
                <c:pt idx="5">
                  <c:v>45.134862560198059</c:v>
                </c:pt>
                <c:pt idx="6">
                  <c:v>32.946584684146316</c:v>
                </c:pt>
                <c:pt idx="7">
                  <c:v>24.11831168315992</c:v>
                </c:pt>
                <c:pt idx="8">
                  <c:v>17.789676992918196</c:v>
                </c:pt>
                <c:pt idx="9">
                  <c:v>13.02280581041226</c:v>
                </c:pt>
                <c:pt idx="10">
                  <c:v>9.533251854051084</c:v>
                </c:pt>
                <c:pt idx="11">
                  <c:v>6.9787488376816533</c:v>
                </c:pt>
              </c:numCache>
            </c:numRef>
          </c:xVal>
          <c:yVal>
            <c:numRef>
              <c:f>Sheet5!$I$61:$I$72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AC-4460-B840-FB9AB2FF3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194688"/>
        <c:axId val="-753200672"/>
      </c:scatterChart>
      <c:valAx>
        <c:axId val="-7531946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(d/D)^.45</a:t>
                </a:r>
              </a:p>
            </c:rich>
          </c:tx>
          <c:layout>
            <c:manualLayout>
              <c:xMode val="edge"/>
              <c:yMode val="edge"/>
              <c:x val="0.80271047969538301"/>
              <c:y val="0.93377113393820765"/>
            </c:manualLayout>
          </c:layout>
          <c:overlay val="0"/>
        </c:title>
        <c:numFmt formatCode="0.00" sourceLinked="1"/>
        <c:majorTickMark val="out"/>
        <c:minorTickMark val="none"/>
        <c:tickLblPos val="none"/>
        <c:crossAx val="-753200672"/>
        <c:crosses val="autoZero"/>
        <c:crossBetween val="midCat"/>
      </c:valAx>
      <c:valAx>
        <c:axId val="-753200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Passing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194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</a:t>
            </a:r>
            <a:r>
              <a:rPr lang="en-US" baseline="0"/>
              <a:t> 7</a:t>
            </a:r>
            <a:endParaRPr lang="en-US"/>
          </a:p>
        </c:rich>
      </c:tx>
      <c:layout>
        <c:manualLayout>
          <c:xMode val="edge"/>
          <c:yMode val="edge"/>
          <c:x val="0.38211895483675923"/>
          <c:y val="2.8368786405096769E-2"/>
        </c:manualLayout>
      </c:layout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7.1310374459421191E-2"/>
          <c:y val="4.7209987076488526E-2"/>
          <c:w val="0.67990883536009505"/>
          <c:h val="0.86756713103169758"/>
        </c:manualLayout>
      </c:layout>
      <c:scatterChart>
        <c:scatterStyle val="lineMarker"/>
        <c:varyColors val="0"/>
        <c:ser>
          <c:idx val="1"/>
          <c:order val="0"/>
          <c:tx>
            <c:v>Max Density Line</c:v>
          </c:tx>
          <c:marker>
            <c:symbol val="none"/>
          </c:marker>
          <c:xVal>
            <c:numRef>
              <c:f>Sheet5!$L$63:$L$64</c:f>
              <c:numCache>
                <c:formatCode>General</c:formatCode>
                <c:ptCount val="2"/>
                <c:pt idx="0" formatCode="0.00">
                  <c:v>95.295634032720628</c:v>
                </c:pt>
                <c:pt idx="1">
                  <c:v>0</c:v>
                </c:pt>
              </c:numCache>
            </c:numRef>
          </c:xVal>
          <c:yVal>
            <c:numRef>
              <c:f>Sheet5!$M$63:$M$64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06-4900-9ABF-B785CE199A0C}"/>
            </c:ext>
          </c:extLst>
        </c:ser>
        <c:ser>
          <c:idx val="2"/>
          <c:order val="1"/>
          <c:tx>
            <c:v>High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84.224631674288489</c:v>
                </c:pt>
              </c:numCache>
            </c:numRef>
          </c:xVal>
          <c:yVal>
            <c:numRef>
              <c:f>Sheet5!$M$67:$M$68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06-4900-9ABF-B785CE199A0C}"/>
            </c:ext>
          </c:extLst>
        </c:ser>
        <c:ser>
          <c:idx val="3"/>
          <c:order val="2"/>
          <c:tx>
            <c:v>Low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Sheet5!$L$71:$L$72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114.37051336098466</c:v>
                </c:pt>
              </c:numCache>
            </c:numRef>
          </c:xVal>
          <c:yVal>
            <c:numRef>
              <c:f>Sheet5!$M$71:$M$72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06-4900-9ABF-B785CE199A0C}"/>
            </c:ext>
          </c:extLst>
        </c:ser>
        <c:ser>
          <c:idx val="0"/>
          <c:order val="3"/>
          <c:tx>
            <c:v>Combined</c:v>
          </c:tx>
          <c:marker>
            <c:symbol val="none"/>
          </c:marker>
          <c:xVal>
            <c:numRef>
              <c:f>Sheet5!$E$59:$E$70</c:f>
              <c:numCache>
                <c:formatCode>0.00</c:formatCode>
                <c:ptCount val="12"/>
                <c:pt idx="0">
                  <c:v>114.37051336098466</c:v>
                </c:pt>
                <c:pt idx="1">
                  <c:v>95.295634032720628</c:v>
                </c:pt>
                <c:pt idx="2">
                  <c:v>84.224631674288489</c:v>
                </c:pt>
                <c:pt idx="3">
                  <c:v>69.760487336687731</c:v>
                </c:pt>
                <c:pt idx="4">
                  <c:v>61.656039240307337</c:v>
                </c:pt>
                <c:pt idx="5">
                  <c:v>45.134862560198059</c:v>
                </c:pt>
                <c:pt idx="6">
                  <c:v>32.946584684146316</c:v>
                </c:pt>
                <c:pt idx="7">
                  <c:v>24.11831168315992</c:v>
                </c:pt>
                <c:pt idx="8">
                  <c:v>17.789676992918196</c:v>
                </c:pt>
                <c:pt idx="9">
                  <c:v>13.02280581041226</c:v>
                </c:pt>
                <c:pt idx="10">
                  <c:v>9.533251854051084</c:v>
                </c:pt>
                <c:pt idx="11">
                  <c:v>6.9787488376816533</c:v>
                </c:pt>
              </c:numCache>
            </c:numRef>
          </c:xVal>
          <c:yVal>
            <c:numRef>
              <c:f>Sheet5!$I$87:$I$98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06-4900-9ABF-B785CE19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198496"/>
        <c:axId val="-753201760"/>
      </c:scatterChart>
      <c:valAx>
        <c:axId val="-7531984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(d/D)^.45</a:t>
                </a:r>
              </a:p>
            </c:rich>
          </c:tx>
          <c:layout>
            <c:manualLayout>
              <c:xMode val="edge"/>
              <c:yMode val="edge"/>
              <c:x val="0.80271047969538301"/>
              <c:y val="0.93377113393820765"/>
            </c:manualLayout>
          </c:layout>
          <c:overlay val="0"/>
        </c:title>
        <c:numFmt formatCode="0.00" sourceLinked="1"/>
        <c:majorTickMark val="out"/>
        <c:minorTickMark val="none"/>
        <c:tickLblPos val="none"/>
        <c:crossAx val="-753201760"/>
        <c:crosses val="autoZero"/>
        <c:crossBetween val="midCat"/>
      </c:valAx>
      <c:valAx>
        <c:axId val="-753201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Passing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198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</a:t>
            </a:r>
            <a:r>
              <a:rPr lang="en-US" baseline="0"/>
              <a:t> 10</a:t>
            </a:r>
            <a:endParaRPr lang="en-US"/>
          </a:p>
        </c:rich>
      </c:tx>
      <c:layout>
        <c:manualLayout>
          <c:xMode val="edge"/>
          <c:yMode val="edge"/>
          <c:x val="0.38211895483675923"/>
          <c:y val="2.8368786405096769E-2"/>
        </c:manualLayout>
      </c:layout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7.1310374459421191E-2"/>
          <c:y val="4.7209987076488526E-2"/>
          <c:w val="0.67990883536009505"/>
          <c:h val="0.86756713103169758"/>
        </c:manualLayout>
      </c:layout>
      <c:scatterChart>
        <c:scatterStyle val="lineMarker"/>
        <c:varyColors val="0"/>
        <c:ser>
          <c:idx val="1"/>
          <c:order val="0"/>
          <c:tx>
            <c:v>Max Density Line</c:v>
          </c:tx>
          <c:marker>
            <c:symbol val="none"/>
          </c:marker>
          <c:xVal>
            <c:numRef>
              <c:f>Sheet5!$L$63:$L$64</c:f>
              <c:numCache>
                <c:formatCode>General</c:formatCode>
                <c:ptCount val="2"/>
                <c:pt idx="0" formatCode="0.00">
                  <c:v>95.295634032720628</c:v>
                </c:pt>
                <c:pt idx="1">
                  <c:v>0</c:v>
                </c:pt>
              </c:numCache>
            </c:numRef>
          </c:xVal>
          <c:yVal>
            <c:numRef>
              <c:f>Sheet5!$M$63:$M$64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8-451F-BD6D-1B10676DF819}"/>
            </c:ext>
          </c:extLst>
        </c:ser>
        <c:ser>
          <c:idx val="2"/>
          <c:order val="1"/>
          <c:tx>
            <c:v>High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84.224631674288489</c:v>
                </c:pt>
              </c:numCache>
            </c:numRef>
          </c:xVal>
          <c:yVal>
            <c:numRef>
              <c:f>Sheet5!$M$67:$M$68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51F-BD6D-1B10676DF819}"/>
            </c:ext>
          </c:extLst>
        </c:ser>
        <c:ser>
          <c:idx val="3"/>
          <c:order val="2"/>
          <c:tx>
            <c:v>Low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Sheet5!$L$71:$L$72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114.37051336098466</c:v>
                </c:pt>
              </c:numCache>
            </c:numRef>
          </c:xVal>
          <c:yVal>
            <c:numRef>
              <c:f>Sheet5!$M$71:$M$72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48-451F-BD6D-1B10676DF819}"/>
            </c:ext>
          </c:extLst>
        </c:ser>
        <c:ser>
          <c:idx val="0"/>
          <c:order val="3"/>
          <c:tx>
            <c:v>Combined</c:v>
          </c:tx>
          <c:marker>
            <c:symbol val="none"/>
          </c:marker>
          <c:xVal>
            <c:numRef>
              <c:f>Sheet5!$E$59:$E$70</c:f>
              <c:numCache>
                <c:formatCode>0.00</c:formatCode>
                <c:ptCount val="12"/>
                <c:pt idx="0">
                  <c:v>114.37051336098466</c:v>
                </c:pt>
                <c:pt idx="1">
                  <c:v>95.295634032720628</c:v>
                </c:pt>
                <c:pt idx="2">
                  <c:v>84.224631674288489</c:v>
                </c:pt>
                <c:pt idx="3">
                  <c:v>69.760487336687731</c:v>
                </c:pt>
                <c:pt idx="4">
                  <c:v>61.656039240307337</c:v>
                </c:pt>
                <c:pt idx="5">
                  <c:v>45.134862560198059</c:v>
                </c:pt>
                <c:pt idx="6">
                  <c:v>32.946584684146316</c:v>
                </c:pt>
                <c:pt idx="7">
                  <c:v>24.11831168315992</c:v>
                </c:pt>
                <c:pt idx="8">
                  <c:v>17.789676992918196</c:v>
                </c:pt>
                <c:pt idx="9">
                  <c:v>13.02280581041226</c:v>
                </c:pt>
                <c:pt idx="10">
                  <c:v>9.533251854051084</c:v>
                </c:pt>
                <c:pt idx="11">
                  <c:v>6.9787488376816533</c:v>
                </c:pt>
              </c:numCache>
            </c:numRef>
          </c:xVal>
          <c:yVal>
            <c:numRef>
              <c:f>Sheet5!$I$114:$I$125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51F-BD6D-1B10676DF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205024"/>
        <c:axId val="-753204480"/>
      </c:scatterChart>
      <c:valAx>
        <c:axId val="-7532050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(d/D)^.45</a:t>
                </a:r>
              </a:p>
            </c:rich>
          </c:tx>
          <c:layout>
            <c:manualLayout>
              <c:xMode val="edge"/>
              <c:yMode val="edge"/>
              <c:x val="0.80271047969538301"/>
              <c:y val="0.93377113393820765"/>
            </c:manualLayout>
          </c:layout>
          <c:overlay val="0"/>
        </c:title>
        <c:numFmt formatCode="0.00" sourceLinked="1"/>
        <c:majorTickMark val="out"/>
        <c:minorTickMark val="none"/>
        <c:tickLblPos val="none"/>
        <c:crossAx val="-753204480"/>
        <c:crosses val="autoZero"/>
        <c:crossBetween val="midCat"/>
      </c:valAx>
      <c:valAx>
        <c:axId val="-753204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Passing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205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</a:t>
            </a:r>
            <a:r>
              <a:rPr lang="en-US" baseline="0"/>
              <a:t> 14</a:t>
            </a:r>
            <a:endParaRPr lang="en-US"/>
          </a:p>
        </c:rich>
      </c:tx>
      <c:layout>
        <c:manualLayout>
          <c:xMode val="edge"/>
          <c:yMode val="edge"/>
          <c:x val="0.38211895483675923"/>
          <c:y val="2.8368786405096769E-2"/>
        </c:manualLayout>
      </c:layout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7.1310374459421191E-2"/>
          <c:y val="4.7209987076488526E-2"/>
          <c:w val="0.67990883536009505"/>
          <c:h val="0.86756713103169758"/>
        </c:manualLayout>
      </c:layout>
      <c:scatterChart>
        <c:scatterStyle val="lineMarker"/>
        <c:varyColors val="0"/>
        <c:ser>
          <c:idx val="1"/>
          <c:order val="0"/>
          <c:tx>
            <c:v>Max Density Line</c:v>
          </c:tx>
          <c:marker>
            <c:symbol val="none"/>
          </c:marker>
          <c:xVal>
            <c:numRef>
              <c:f>Sheet5!$L$63:$L$64</c:f>
              <c:numCache>
                <c:formatCode>General</c:formatCode>
                <c:ptCount val="2"/>
                <c:pt idx="0" formatCode="0.00">
                  <c:v>95.295634032720628</c:v>
                </c:pt>
                <c:pt idx="1">
                  <c:v>0</c:v>
                </c:pt>
              </c:numCache>
            </c:numRef>
          </c:xVal>
          <c:yVal>
            <c:numRef>
              <c:f>Sheet5!$M$63:$M$64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F-4BFE-9FBE-CD6E8DE9462D}"/>
            </c:ext>
          </c:extLst>
        </c:ser>
        <c:ser>
          <c:idx val="2"/>
          <c:order val="1"/>
          <c:tx>
            <c:v>High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84.224631674288489</c:v>
                </c:pt>
              </c:numCache>
            </c:numRef>
          </c:xVal>
          <c:yVal>
            <c:numRef>
              <c:f>Sheet5!$M$67:$M$68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3F-4BFE-9FBE-CD6E8DE9462D}"/>
            </c:ext>
          </c:extLst>
        </c:ser>
        <c:ser>
          <c:idx val="3"/>
          <c:order val="2"/>
          <c:tx>
            <c:v>Low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Sheet5!$L$71:$L$72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114.37051336098466</c:v>
                </c:pt>
              </c:numCache>
            </c:numRef>
          </c:xVal>
          <c:yVal>
            <c:numRef>
              <c:f>Sheet5!$M$71:$M$72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3F-4BFE-9FBE-CD6E8DE9462D}"/>
            </c:ext>
          </c:extLst>
        </c:ser>
        <c:ser>
          <c:idx val="0"/>
          <c:order val="3"/>
          <c:tx>
            <c:v>Combined</c:v>
          </c:tx>
          <c:marker>
            <c:symbol val="none"/>
          </c:marker>
          <c:xVal>
            <c:numRef>
              <c:f>Sheet5!$E$59:$E$70</c:f>
              <c:numCache>
                <c:formatCode>0.00</c:formatCode>
                <c:ptCount val="12"/>
                <c:pt idx="0">
                  <c:v>114.37051336098466</c:v>
                </c:pt>
                <c:pt idx="1">
                  <c:v>95.295634032720628</c:v>
                </c:pt>
                <c:pt idx="2">
                  <c:v>84.224631674288489</c:v>
                </c:pt>
                <c:pt idx="3">
                  <c:v>69.760487336687731</c:v>
                </c:pt>
                <c:pt idx="4">
                  <c:v>61.656039240307337</c:v>
                </c:pt>
                <c:pt idx="5">
                  <c:v>45.134862560198059</c:v>
                </c:pt>
                <c:pt idx="6">
                  <c:v>32.946584684146316</c:v>
                </c:pt>
                <c:pt idx="7">
                  <c:v>24.11831168315992</c:v>
                </c:pt>
                <c:pt idx="8">
                  <c:v>17.789676992918196</c:v>
                </c:pt>
                <c:pt idx="9">
                  <c:v>13.02280581041226</c:v>
                </c:pt>
                <c:pt idx="10">
                  <c:v>9.533251854051084</c:v>
                </c:pt>
                <c:pt idx="11">
                  <c:v>6.9787488376816533</c:v>
                </c:pt>
              </c:numCache>
            </c:numRef>
          </c:xVal>
          <c:yVal>
            <c:numRef>
              <c:f>Sheet5!$I$141:$I$152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3F-4BFE-9FBE-CD6E8DE94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203936"/>
        <c:axId val="-753203392"/>
      </c:scatterChart>
      <c:valAx>
        <c:axId val="-7532039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(d/D)^.45</a:t>
                </a:r>
              </a:p>
            </c:rich>
          </c:tx>
          <c:layout>
            <c:manualLayout>
              <c:xMode val="edge"/>
              <c:yMode val="edge"/>
              <c:x val="0.80271047969538301"/>
              <c:y val="0.93377113393820765"/>
            </c:manualLayout>
          </c:layout>
          <c:overlay val="0"/>
        </c:title>
        <c:numFmt formatCode="0.00" sourceLinked="1"/>
        <c:majorTickMark val="out"/>
        <c:minorTickMark val="none"/>
        <c:tickLblPos val="none"/>
        <c:crossAx val="-753203392"/>
        <c:crosses val="autoZero"/>
        <c:crossBetween val="midCat"/>
      </c:valAx>
      <c:valAx>
        <c:axId val="-753203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Passing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203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</a:t>
            </a:r>
            <a:r>
              <a:rPr lang="en-US" baseline="0"/>
              <a:t> 15</a:t>
            </a:r>
            <a:endParaRPr lang="en-US"/>
          </a:p>
        </c:rich>
      </c:tx>
      <c:layout>
        <c:manualLayout>
          <c:xMode val="edge"/>
          <c:yMode val="edge"/>
          <c:x val="0.38211895483675923"/>
          <c:y val="2.8368786405096769E-2"/>
        </c:manualLayout>
      </c:layout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7.1310374459421191E-2"/>
          <c:y val="4.7209987076488526E-2"/>
          <c:w val="0.67990883536009505"/>
          <c:h val="0.86756713103169758"/>
        </c:manualLayout>
      </c:layout>
      <c:scatterChart>
        <c:scatterStyle val="lineMarker"/>
        <c:varyColors val="0"/>
        <c:ser>
          <c:idx val="1"/>
          <c:order val="0"/>
          <c:tx>
            <c:v>Max Density Line</c:v>
          </c:tx>
          <c:marker>
            <c:symbol val="none"/>
          </c:marker>
          <c:xVal>
            <c:numRef>
              <c:f>Sheet5!$L$63:$L$64</c:f>
              <c:numCache>
                <c:formatCode>General</c:formatCode>
                <c:ptCount val="2"/>
                <c:pt idx="0" formatCode="0.00">
                  <c:v>95.295634032720628</c:v>
                </c:pt>
                <c:pt idx="1">
                  <c:v>0</c:v>
                </c:pt>
              </c:numCache>
            </c:numRef>
          </c:xVal>
          <c:yVal>
            <c:numRef>
              <c:f>Sheet5!$M$63:$M$64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8-44F2-AF0A-B5700203CBA5}"/>
            </c:ext>
          </c:extLst>
        </c:ser>
        <c:ser>
          <c:idx val="2"/>
          <c:order val="1"/>
          <c:tx>
            <c:v>High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84.224631674288489</c:v>
                </c:pt>
              </c:numCache>
            </c:numRef>
          </c:xVal>
          <c:yVal>
            <c:numRef>
              <c:f>Sheet5!$M$67:$M$68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28-44F2-AF0A-B5700203CBA5}"/>
            </c:ext>
          </c:extLst>
        </c:ser>
        <c:ser>
          <c:idx val="3"/>
          <c:order val="2"/>
          <c:tx>
            <c:v>Low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Sheet5!$L$71:$L$72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114.37051336098466</c:v>
                </c:pt>
              </c:numCache>
            </c:numRef>
          </c:xVal>
          <c:yVal>
            <c:numRef>
              <c:f>Sheet5!$M$71:$M$72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28-44F2-AF0A-B5700203CBA5}"/>
            </c:ext>
          </c:extLst>
        </c:ser>
        <c:ser>
          <c:idx val="0"/>
          <c:order val="3"/>
          <c:tx>
            <c:v>Combined</c:v>
          </c:tx>
          <c:marker>
            <c:symbol val="none"/>
          </c:marker>
          <c:xVal>
            <c:numRef>
              <c:f>Sheet5!$E$59:$E$70</c:f>
              <c:numCache>
                <c:formatCode>0.00</c:formatCode>
                <c:ptCount val="12"/>
                <c:pt idx="0">
                  <c:v>114.37051336098466</c:v>
                </c:pt>
                <c:pt idx="1">
                  <c:v>95.295634032720628</c:v>
                </c:pt>
                <c:pt idx="2">
                  <c:v>84.224631674288489</c:v>
                </c:pt>
                <c:pt idx="3">
                  <c:v>69.760487336687731</c:v>
                </c:pt>
                <c:pt idx="4">
                  <c:v>61.656039240307337</c:v>
                </c:pt>
                <c:pt idx="5">
                  <c:v>45.134862560198059</c:v>
                </c:pt>
                <c:pt idx="6">
                  <c:v>32.946584684146316</c:v>
                </c:pt>
                <c:pt idx="7">
                  <c:v>24.11831168315992</c:v>
                </c:pt>
                <c:pt idx="8">
                  <c:v>17.789676992918196</c:v>
                </c:pt>
                <c:pt idx="9">
                  <c:v>13.02280581041226</c:v>
                </c:pt>
                <c:pt idx="10">
                  <c:v>9.533251854051084</c:v>
                </c:pt>
                <c:pt idx="11">
                  <c:v>6.9787488376816533</c:v>
                </c:pt>
              </c:numCache>
            </c:numRef>
          </c:xVal>
          <c:yVal>
            <c:numRef>
              <c:f>Sheet5!$I$169:$I$180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28-44F2-AF0A-B5700203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3196864"/>
        <c:axId val="-753196320"/>
      </c:scatterChart>
      <c:valAx>
        <c:axId val="-7531968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(d/D)^.45</a:t>
                </a:r>
              </a:p>
            </c:rich>
          </c:tx>
          <c:layout>
            <c:manualLayout>
              <c:xMode val="edge"/>
              <c:yMode val="edge"/>
              <c:x val="0.80271047969538301"/>
              <c:y val="0.93377113393820765"/>
            </c:manualLayout>
          </c:layout>
          <c:overlay val="0"/>
        </c:title>
        <c:numFmt formatCode="0.00" sourceLinked="1"/>
        <c:majorTickMark val="out"/>
        <c:minorTickMark val="none"/>
        <c:tickLblPos val="none"/>
        <c:crossAx val="-753196320"/>
        <c:crosses val="autoZero"/>
        <c:crossBetween val="midCat"/>
      </c:valAx>
      <c:valAx>
        <c:axId val="-753196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Passing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3196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</a:t>
            </a:r>
            <a:r>
              <a:rPr lang="en-US" baseline="0"/>
              <a:t> 17</a:t>
            </a:r>
            <a:endParaRPr lang="en-US"/>
          </a:p>
        </c:rich>
      </c:tx>
      <c:layout>
        <c:manualLayout>
          <c:xMode val="edge"/>
          <c:yMode val="edge"/>
          <c:x val="0.38211895483675923"/>
          <c:y val="2.8368786405096769E-2"/>
        </c:manualLayout>
      </c:layout>
      <c:overlay val="0"/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title>
    <c:autoTitleDeleted val="0"/>
    <c:plotArea>
      <c:layout>
        <c:manualLayout>
          <c:layoutTarget val="inner"/>
          <c:xMode val="edge"/>
          <c:yMode val="edge"/>
          <c:x val="7.1310374459421191E-2"/>
          <c:y val="4.7209987076488526E-2"/>
          <c:w val="0.67990883536009505"/>
          <c:h val="0.86756713103169758"/>
        </c:manualLayout>
      </c:layout>
      <c:scatterChart>
        <c:scatterStyle val="lineMarker"/>
        <c:varyColors val="0"/>
        <c:ser>
          <c:idx val="1"/>
          <c:order val="0"/>
          <c:tx>
            <c:v>Max Density Line</c:v>
          </c:tx>
          <c:marker>
            <c:symbol val="none"/>
          </c:marker>
          <c:xVal>
            <c:numRef>
              <c:f>Sheet5!$L$63:$L$64</c:f>
              <c:numCache>
                <c:formatCode>General</c:formatCode>
                <c:ptCount val="2"/>
                <c:pt idx="0" formatCode="0.00">
                  <c:v>95.295634032720628</c:v>
                </c:pt>
                <c:pt idx="1">
                  <c:v>0</c:v>
                </c:pt>
              </c:numCache>
            </c:numRef>
          </c:xVal>
          <c:yVal>
            <c:numRef>
              <c:f>Sheet5!$M$63:$M$64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7-4181-8E15-833395A893CC}"/>
            </c:ext>
          </c:extLst>
        </c:ser>
        <c:ser>
          <c:idx val="2"/>
          <c:order val="1"/>
          <c:tx>
            <c:v>High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84.224631674288489</c:v>
                </c:pt>
              </c:numCache>
            </c:numRef>
          </c:xVal>
          <c:yVal>
            <c:numRef>
              <c:f>Sheet5!$M$67:$M$68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7-4181-8E15-833395A893CC}"/>
            </c:ext>
          </c:extLst>
        </c:ser>
        <c:ser>
          <c:idx val="3"/>
          <c:order val="2"/>
          <c:tx>
            <c:v>Low Density Line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Sheet5!$L$71:$L$72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114.37051336098466</c:v>
                </c:pt>
              </c:numCache>
            </c:numRef>
          </c:xVal>
          <c:yVal>
            <c:numRef>
              <c:f>Sheet5!$M$71:$M$72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7-4181-8E15-833395A893CC}"/>
            </c:ext>
          </c:extLst>
        </c:ser>
        <c:ser>
          <c:idx val="0"/>
          <c:order val="3"/>
          <c:tx>
            <c:v>Combined</c:v>
          </c:tx>
          <c:marker>
            <c:symbol val="none"/>
          </c:marker>
          <c:xVal>
            <c:numRef>
              <c:f>Sheet5!$E$59:$E$70</c:f>
              <c:numCache>
                <c:formatCode>0.00</c:formatCode>
                <c:ptCount val="12"/>
                <c:pt idx="0">
                  <c:v>114.37051336098466</c:v>
                </c:pt>
                <c:pt idx="1">
                  <c:v>95.295634032720628</c:v>
                </c:pt>
                <c:pt idx="2">
                  <c:v>84.224631674288489</c:v>
                </c:pt>
                <c:pt idx="3">
                  <c:v>69.760487336687731</c:v>
                </c:pt>
                <c:pt idx="4">
                  <c:v>61.656039240307337</c:v>
                </c:pt>
                <c:pt idx="5">
                  <c:v>45.134862560198059</c:v>
                </c:pt>
                <c:pt idx="6">
                  <c:v>32.946584684146316</c:v>
                </c:pt>
                <c:pt idx="7">
                  <c:v>24.11831168315992</c:v>
                </c:pt>
                <c:pt idx="8">
                  <c:v>17.789676992918196</c:v>
                </c:pt>
                <c:pt idx="9">
                  <c:v>13.02280581041226</c:v>
                </c:pt>
                <c:pt idx="10">
                  <c:v>9.533251854051084</c:v>
                </c:pt>
                <c:pt idx="11">
                  <c:v>6.9787488376816533</c:v>
                </c:pt>
              </c:numCache>
            </c:numRef>
          </c:xVal>
          <c:yVal>
            <c:numRef>
              <c:f>Sheet5!$I$198:$I$209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7-4181-8E15-833395A89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2245600"/>
        <c:axId val="-752246688"/>
      </c:scatterChart>
      <c:valAx>
        <c:axId val="-752245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(d/D)^.45</a:t>
                </a:r>
              </a:p>
            </c:rich>
          </c:tx>
          <c:layout>
            <c:manualLayout>
              <c:xMode val="edge"/>
              <c:yMode val="edge"/>
              <c:x val="0.80271047969538301"/>
              <c:y val="0.93377113393820765"/>
            </c:manualLayout>
          </c:layout>
          <c:overlay val="0"/>
        </c:title>
        <c:numFmt formatCode="0.00" sourceLinked="1"/>
        <c:majorTickMark val="out"/>
        <c:minorTickMark val="none"/>
        <c:tickLblPos val="none"/>
        <c:crossAx val="-752246688"/>
        <c:crosses val="autoZero"/>
        <c:crossBetween val="midCat"/>
      </c:valAx>
      <c:valAx>
        <c:axId val="-752246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% Passing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-752245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cat>
            <c:numRef>
              <c:f>Sheet3!$BA$28:$BA$41</c:f>
              <c:numCache>
                <c:formatCode>0.00%</c:formatCode>
                <c:ptCount val="14"/>
                <c:pt idx="0">
                  <c:v>0.52746843688890843</c:v>
                </c:pt>
                <c:pt idx="1">
                  <c:v>0.54342120395432714</c:v>
                </c:pt>
                <c:pt idx="2">
                  <c:v>0.54680540434311609</c:v>
                </c:pt>
                <c:pt idx="3">
                  <c:v>0.55856166329815216</c:v>
                </c:pt>
                <c:pt idx="4">
                  <c:v>0.56253188891860884</c:v>
                </c:pt>
                <c:pt idx="5">
                  <c:v>0.5677676230218065</c:v>
                </c:pt>
                <c:pt idx="6">
                  <c:v>0.57763635880680286</c:v>
                </c:pt>
                <c:pt idx="7">
                  <c:v>0.58313792558127309</c:v>
                </c:pt>
                <c:pt idx="8">
                  <c:v>0.5978902457411267</c:v>
                </c:pt>
                <c:pt idx="9">
                  <c:v>0.73659006348867362</c:v>
                </c:pt>
                <c:pt idx="10">
                  <c:v>0.74077833774877022</c:v>
                </c:pt>
                <c:pt idx="11">
                  <c:v>0.74515480021471081</c:v>
                </c:pt>
                <c:pt idx="12">
                  <c:v>0.74938810217856811</c:v>
                </c:pt>
                <c:pt idx="13">
                  <c:v>0.75295277138654582</c:v>
                </c:pt>
              </c:numCache>
            </c:numRef>
          </c:cat>
          <c:val>
            <c:numRef>
              <c:f>Sheet3!$AX$28:$AX$41</c:f>
              <c:numCache>
                <c:formatCode>0.00</c:formatCode>
                <c:ptCount val="14"/>
                <c:pt idx="0">
                  <c:v>130.16</c:v>
                </c:pt>
                <c:pt idx="1">
                  <c:v>131.49333333333334</c:v>
                </c:pt>
                <c:pt idx="2">
                  <c:v>135.62666666666669</c:v>
                </c:pt>
                <c:pt idx="3">
                  <c:v>132.02666666666667</c:v>
                </c:pt>
                <c:pt idx="4">
                  <c:v>131.09333333333333</c:v>
                </c:pt>
                <c:pt idx="5">
                  <c:v>134.69333333333336</c:v>
                </c:pt>
                <c:pt idx="6">
                  <c:v>133.65333333333334</c:v>
                </c:pt>
                <c:pt idx="7">
                  <c:v>132.48000000000002</c:v>
                </c:pt>
                <c:pt idx="8">
                  <c:v>136.08000000000001</c:v>
                </c:pt>
                <c:pt idx="9">
                  <c:v>135.76000000000002</c:v>
                </c:pt>
                <c:pt idx="10">
                  <c:v>135.22666666666669</c:v>
                </c:pt>
                <c:pt idx="11">
                  <c:v>136.66666666666666</c:v>
                </c:pt>
                <c:pt idx="12">
                  <c:v>133.81333333333333</c:v>
                </c:pt>
                <c:pt idx="13">
                  <c:v>133.14666666666668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0-480C-8C6F-317C88C8B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2258656"/>
        <c:axId val="-752245056"/>
      </c:lineChart>
      <c:catAx>
        <c:axId val="-75225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 F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-752245056"/>
        <c:crosses val="autoZero"/>
        <c:auto val="1"/>
        <c:lblAlgn val="ctr"/>
        <c:lblOffset val="100"/>
        <c:noMultiLvlLbl val="0"/>
      </c:catAx>
      <c:valAx>
        <c:axId val="-752245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Dry Pot Unit Wt. (b/cu ft)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-7522586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55313278148149"/>
          <c:y val="2.8057561770295954E-2"/>
          <c:w val="0.74368396258160063"/>
          <c:h val="0.7528243279934933"/>
        </c:manualLayout>
      </c:layout>
      <c:lineChart>
        <c:grouping val="stacked"/>
        <c:varyColors val="0"/>
        <c:ser>
          <c:idx val="0"/>
          <c:order val="0"/>
          <c:cat>
            <c:numRef>
              <c:f>Sheet3!$BB$48:$BB$61</c:f>
              <c:numCache>
                <c:formatCode>0.00%</c:formatCode>
                <c:ptCount val="14"/>
                <c:pt idx="0">
                  <c:v>0.26675413378132928</c:v>
                </c:pt>
                <c:pt idx="1">
                  <c:v>0.29085126239152748</c:v>
                </c:pt>
                <c:pt idx="2">
                  <c:v>0.29428456752433269</c:v>
                </c:pt>
                <c:pt idx="3">
                  <c:v>0.31386306587748147</c:v>
                </c:pt>
                <c:pt idx="4">
                  <c:v>0.3145504720942503</c:v>
                </c:pt>
                <c:pt idx="5">
                  <c:v>0.31721412851042335</c:v>
                </c:pt>
                <c:pt idx="6">
                  <c:v>0.31976115336472843</c:v>
                </c:pt>
                <c:pt idx="7">
                  <c:v>0.32543108998437797</c:v>
                </c:pt>
                <c:pt idx="8">
                  <c:v>0.33865453823070957</c:v>
                </c:pt>
                <c:pt idx="9">
                  <c:v>0.34141559127621851</c:v>
                </c:pt>
                <c:pt idx="10">
                  <c:v>0.34304397478921717</c:v>
                </c:pt>
                <c:pt idx="11">
                  <c:v>0.35177161802683821</c:v>
                </c:pt>
                <c:pt idx="12">
                  <c:v>0.36382878719076445</c:v>
                </c:pt>
                <c:pt idx="13">
                  <c:v>0.36725178047191565</c:v>
                </c:pt>
              </c:numCache>
            </c:numRef>
          </c:cat>
          <c:val>
            <c:numRef>
              <c:f>Sheet3!$AX$48:$AX$61</c:f>
              <c:numCache>
                <c:formatCode>0.00</c:formatCode>
                <c:ptCount val="14"/>
                <c:pt idx="0">
                  <c:v>132.02666666666667</c:v>
                </c:pt>
                <c:pt idx="1">
                  <c:v>133.65333333333334</c:v>
                </c:pt>
                <c:pt idx="2">
                  <c:v>131.49333333333334</c:v>
                </c:pt>
                <c:pt idx="3">
                  <c:v>133.14666666666668</c:v>
                </c:pt>
                <c:pt idx="4">
                  <c:v>136.08000000000001</c:v>
                </c:pt>
                <c:pt idx="5">
                  <c:v>131.09333333333333</c:v>
                </c:pt>
                <c:pt idx="6">
                  <c:v>130.16</c:v>
                </c:pt>
                <c:pt idx="7">
                  <c:v>133.81333333333333</c:v>
                </c:pt>
                <c:pt idx="8">
                  <c:v>136.66666666666666</c:v>
                </c:pt>
                <c:pt idx="9">
                  <c:v>132.48000000000002</c:v>
                </c:pt>
                <c:pt idx="10">
                  <c:v>135.62666666666669</c:v>
                </c:pt>
                <c:pt idx="11">
                  <c:v>135.22666666666669</c:v>
                </c:pt>
                <c:pt idx="12">
                  <c:v>135.76000000000002</c:v>
                </c:pt>
                <c:pt idx="13">
                  <c:v>134.69333333333336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7-4363-B2A6-58C100D8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2247776"/>
        <c:axId val="-752254304"/>
      </c:lineChart>
      <c:catAx>
        <c:axId val="-75224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F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-752254304"/>
        <c:crosses val="autoZero"/>
        <c:auto val="1"/>
        <c:lblAlgn val="ctr"/>
        <c:lblOffset val="100"/>
        <c:noMultiLvlLbl val="0"/>
      </c:catAx>
      <c:valAx>
        <c:axId val="-752254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Dry Pot Unit Wt.(b/cu ft)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-75224777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CF</c:v>
          </c:tx>
          <c:cat>
            <c:numRef>
              <c:f>Sheet3!$AX$65:$AX$78</c:f>
              <c:numCache>
                <c:formatCode>0.00</c:formatCode>
                <c:ptCount val="14"/>
                <c:pt idx="0">
                  <c:v>130.16</c:v>
                </c:pt>
                <c:pt idx="1">
                  <c:v>131.09333333333333</c:v>
                </c:pt>
                <c:pt idx="2">
                  <c:v>131.49333333333334</c:v>
                </c:pt>
                <c:pt idx="3">
                  <c:v>132.02666666666667</c:v>
                </c:pt>
                <c:pt idx="4">
                  <c:v>132.48000000000002</c:v>
                </c:pt>
                <c:pt idx="5">
                  <c:v>133.14666666666668</c:v>
                </c:pt>
                <c:pt idx="6">
                  <c:v>133.65333333333334</c:v>
                </c:pt>
                <c:pt idx="7">
                  <c:v>133.81333333333333</c:v>
                </c:pt>
                <c:pt idx="8">
                  <c:v>134.69333333333336</c:v>
                </c:pt>
                <c:pt idx="9">
                  <c:v>135.22666666666669</c:v>
                </c:pt>
                <c:pt idx="10">
                  <c:v>135.62666666666669</c:v>
                </c:pt>
                <c:pt idx="11">
                  <c:v>135.76000000000002</c:v>
                </c:pt>
                <c:pt idx="12">
                  <c:v>136.08000000000001</c:v>
                </c:pt>
                <c:pt idx="13">
                  <c:v>136.66666666666666</c:v>
                </c:pt>
              </c:numCache>
            </c:numRef>
          </c:cat>
          <c:val>
            <c:numRef>
              <c:f>Sheet3!$BA$65:$BA$78</c:f>
              <c:numCache>
                <c:formatCode>0.00%</c:formatCode>
                <c:ptCount val="14"/>
                <c:pt idx="0">
                  <c:v>0.52746843688890843</c:v>
                </c:pt>
                <c:pt idx="1">
                  <c:v>0.56253188891860884</c:v>
                </c:pt>
                <c:pt idx="2">
                  <c:v>0.54342120395432714</c:v>
                </c:pt>
                <c:pt idx="3">
                  <c:v>0.55856166329815216</c:v>
                </c:pt>
                <c:pt idx="4">
                  <c:v>0.58313792558127309</c:v>
                </c:pt>
                <c:pt idx="5">
                  <c:v>0.75295277138654582</c:v>
                </c:pt>
                <c:pt idx="6">
                  <c:v>0.57763635880680286</c:v>
                </c:pt>
                <c:pt idx="7">
                  <c:v>0.74938810217856811</c:v>
                </c:pt>
                <c:pt idx="8">
                  <c:v>0.5677676230218065</c:v>
                </c:pt>
                <c:pt idx="9">
                  <c:v>0.74077833774877022</c:v>
                </c:pt>
                <c:pt idx="10">
                  <c:v>0.54680540434311609</c:v>
                </c:pt>
                <c:pt idx="11">
                  <c:v>0.73659006348867362</c:v>
                </c:pt>
                <c:pt idx="12">
                  <c:v>0.5978902457411267</c:v>
                </c:pt>
                <c:pt idx="13">
                  <c:v>0.74515480021471081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B-4148-82A2-BEDF504FF2CE}"/>
            </c:ext>
          </c:extLst>
        </c:ser>
        <c:ser>
          <c:idx val="1"/>
          <c:order val="1"/>
          <c:tx>
            <c:v>WF</c:v>
          </c:tx>
          <c:cat>
            <c:numRef>
              <c:f>Sheet3!$AX$65:$AX$78</c:f>
              <c:numCache>
                <c:formatCode>0.00</c:formatCode>
                <c:ptCount val="14"/>
                <c:pt idx="0">
                  <c:v>130.16</c:v>
                </c:pt>
                <c:pt idx="1">
                  <c:v>131.09333333333333</c:v>
                </c:pt>
                <c:pt idx="2">
                  <c:v>131.49333333333334</c:v>
                </c:pt>
                <c:pt idx="3">
                  <c:v>132.02666666666667</c:v>
                </c:pt>
                <c:pt idx="4">
                  <c:v>132.48000000000002</c:v>
                </c:pt>
                <c:pt idx="5">
                  <c:v>133.14666666666668</c:v>
                </c:pt>
                <c:pt idx="6">
                  <c:v>133.65333333333334</c:v>
                </c:pt>
                <c:pt idx="7">
                  <c:v>133.81333333333333</c:v>
                </c:pt>
                <c:pt idx="8">
                  <c:v>134.69333333333336</c:v>
                </c:pt>
                <c:pt idx="9">
                  <c:v>135.22666666666669</c:v>
                </c:pt>
                <c:pt idx="10">
                  <c:v>135.62666666666669</c:v>
                </c:pt>
                <c:pt idx="11">
                  <c:v>135.76000000000002</c:v>
                </c:pt>
                <c:pt idx="12">
                  <c:v>136.08000000000001</c:v>
                </c:pt>
                <c:pt idx="13">
                  <c:v>136.66666666666666</c:v>
                </c:pt>
              </c:numCache>
            </c:numRef>
          </c:cat>
          <c:val>
            <c:numRef>
              <c:f>Sheet3!$BB$65:$BB$78</c:f>
              <c:numCache>
                <c:formatCode>0.00%</c:formatCode>
                <c:ptCount val="14"/>
                <c:pt idx="0">
                  <c:v>0.31976115336472843</c:v>
                </c:pt>
                <c:pt idx="1">
                  <c:v>0.31721412851042335</c:v>
                </c:pt>
                <c:pt idx="2">
                  <c:v>0.29428456752433269</c:v>
                </c:pt>
                <c:pt idx="3">
                  <c:v>0.26675413378132928</c:v>
                </c:pt>
                <c:pt idx="4">
                  <c:v>0.34141559127621851</c:v>
                </c:pt>
                <c:pt idx="5">
                  <c:v>0.31386306587748147</c:v>
                </c:pt>
                <c:pt idx="6">
                  <c:v>0.29085126239152748</c:v>
                </c:pt>
                <c:pt idx="7">
                  <c:v>0.32543108998437797</c:v>
                </c:pt>
                <c:pt idx="8">
                  <c:v>0.36725178047191565</c:v>
                </c:pt>
                <c:pt idx="9">
                  <c:v>0.35177161802683821</c:v>
                </c:pt>
                <c:pt idx="10">
                  <c:v>0.34304397478921717</c:v>
                </c:pt>
                <c:pt idx="11">
                  <c:v>0.36382878719076445</c:v>
                </c:pt>
                <c:pt idx="12">
                  <c:v>0.3145504720942503</c:v>
                </c:pt>
                <c:pt idx="13">
                  <c:v>0.33865453823070957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B-4148-82A2-BEDF504FF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52244512"/>
        <c:axId val="-752250496"/>
      </c:lineChart>
      <c:catAx>
        <c:axId val="-75224451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crossAx val="-752250496"/>
        <c:crosses val="autoZero"/>
        <c:auto val="1"/>
        <c:lblAlgn val="ctr"/>
        <c:lblOffset val="100"/>
        <c:noMultiLvlLbl val="0"/>
      </c:catAx>
      <c:valAx>
        <c:axId val="-7522504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CF &amp; WF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-75224451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Void Ratio in Shilstone Box</a:t>
            </a:r>
          </a:p>
        </c:rich>
      </c:tx>
      <c:layout>
        <c:manualLayout>
          <c:xMode val="edge"/>
          <c:yMode val="edge"/>
          <c:x val="0.66301361194554465"/>
          <c:y val="9.888747695221076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82757783932591"/>
          <c:y val="2.8680742429528221E-2"/>
          <c:w val="0.72444881889763779"/>
          <c:h val="0.8523566414880416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Sheet3!$CF$19:$CF$32</c:f>
              <c:numCache>
                <c:formatCode>0.00%</c:formatCode>
                <c:ptCount val="14"/>
                <c:pt idx="0">
                  <c:v>0.55856166329815216</c:v>
                </c:pt>
                <c:pt idx="1">
                  <c:v>0.57763635880680286</c:v>
                </c:pt>
                <c:pt idx="2">
                  <c:v>0.54342120395432714</c:v>
                </c:pt>
                <c:pt idx="3">
                  <c:v>0.56253188891860884</c:v>
                </c:pt>
                <c:pt idx="4">
                  <c:v>0.52746843688890843</c:v>
                </c:pt>
                <c:pt idx="5">
                  <c:v>0.58313792558127309</c:v>
                </c:pt>
                <c:pt idx="6">
                  <c:v>0.54680540434311609</c:v>
                </c:pt>
                <c:pt idx="7">
                  <c:v>0.5677676230218065</c:v>
                </c:pt>
                <c:pt idx="8">
                  <c:v>0.5978902457411267</c:v>
                </c:pt>
                <c:pt idx="9">
                  <c:v>0.75295277138654582</c:v>
                </c:pt>
                <c:pt idx="10">
                  <c:v>0.74938810217856811</c:v>
                </c:pt>
                <c:pt idx="11">
                  <c:v>0.74515480021471081</c:v>
                </c:pt>
                <c:pt idx="12">
                  <c:v>0.74077833774877022</c:v>
                </c:pt>
                <c:pt idx="13">
                  <c:v>0.73659006348867362</c:v>
                </c:pt>
              </c:numCache>
            </c:numRef>
          </c:xVal>
          <c:yVal>
            <c:numRef>
              <c:f>Sheet3!$CG$19:$CG$32</c:f>
              <c:numCache>
                <c:formatCode>0.00%</c:formatCode>
                <c:ptCount val="14"/>
                <c:pt idx="0">
                  <c:v>0.26675413378132928</c:v>
                </c:pt>
                <c:pt idx="1">
                  <c:v>0.29085126239152748</c:v>
                </c:pt>
                <c:pt idx="2">
                  <c:v>0.29428456752433269</c:v>
                </c:pt>
                <c:pt idx="3">
                  <c:v>0.31721412851042335</c:v>
                </c:pt>
                <c:pt idx="4">
                  <c:v>0.31976115336472843</c:v>
                </c:pt>
                <c:pt idx="5">
                  <c:v>0.34141559127621851</c:v>
                </c:pt>
                <c:pt idx="6">
                  <c:v>0.34304397478921717</c:v>
                </c:pt>
                <c:pt idx="7">
                  <c:v>0.36725178047191565</c:v>
                </c:pt>
                <c:pt idx="8">
                  <c:v>0.3145504720942503</c:v>
                </c:pt>
                <c:pt idx="9">
                  <c:v>0.31386306587748147</c:v>
                </c:pt>
                <c:pt idx="10">
                  <c:v>0.32543108998437797</c:v>
                </c:pt>
                <c:pt idx="11">
                  <c:v>0.33865453823070957</c:v>
                </c:pt>
                <c:pt idx="12">
                  <c:v>0.35177161802683821</c:v>
                </c:pt>
                <c:pt idx="13">
                  <c:v>0.36382878719076445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3-47DF-8C9D-5F1D65A0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2257568"/>
        <c:axId val="-752259200"/>
      </c:scatterChart>
      <c:valAx>
        <c:axId val="-752257568"/>
        <c:scaling>
          <c:orientation val="minMax"/>
          <c:min val="0.4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Coarsness Factor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-752259200"/>
        <c:crosses val="autoZero"/>
        <c:crossBetween val="midCat"/>
      </c:valAx>
      <c:valAx>
        <c:axId val="-752259200"/>
        <c:scaling>
          <c:orientation val="minMax"/>
          <c:min val="0.2400000000000002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Workability Factor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-752257568"/>
        <c:crosses val="autoZero"/>
        <c:crossBetween val="midCat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22" l="0.70000000000000062" r="0.70000000000000062" t="0.75000000000000522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chart" Target="../charts/chart23.xm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chart" Target="../charts/chart22.xml"/><Relationship Id="rId2" Type="http://schemas.openxmlformats.org/officeDocument/2006/relationships/image" Target="../media/image2.jpeg"/><Relationship Id="rId16" Type="http://schemas.openxmlformats.org/officeDocument/2006/relationships/chart" Target="../charts/chart21.xml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chart" Target="../charts/chart20.xml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374197</xdr:colOff>
      <xdr:row>21</xdr:row>
      <xdr:rowOff>32317</xdr:rowOff>
    </xdr:from>
    <xdr:to>
      <xdr:col>14</xdr:col>
      <xdr:colOff>360816</xdr:colOff>
      <xdr:row>52</xdr:row>
      <xdr:rowOff>151380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221572</xdr:colOff>
      <xdr:row>1</xdr:row>
      <xdr:rowOff>106207</xdr:rowOff>
    </xdr:from>
    <xdr:to>
      <xdr:col>19</xdr:col>
      <xdr:colOff>525412</xdr:colOff>
      <xdr:row>20</xdr:row>
      <xdr:rowOff>171521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0.43602</cdr:x>
      <cdr:y>0.93203</cdr:y>
    </cdr:from>
    <cdr:to>
      <cdr:x>0.58926</cdr:x>
      <cdr:y>1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2873919" y="4324370"/>
          <a:ext cx="1010051" cy="3153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/>
            <a:t>Sieve</a:t>
          </a:r>
          <a:r>
            <a:rPr lang="en-US" sz="1400" b="1" baseline="0"/>
            <a:t> No.</a:t>
          </a:r>
          <a:endParaRPr lang="en-US" sz="1400" b="1"/>
        </a:p>
      </cdr:txBody>
    </cdr:sp>
  </cdr:relSizeAnchor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9A8A2DE9-E691-4256-81ED-B834945C43EE}"/>
            </a:ext>
          </a:extLst>
        </cdr:cNvPr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0.43602</cdr:x>
      <cdr:y>0.93203</cdr:y>
    </cdr:from>
    <cdr:to>
      <cdr:x>0.58926</cdr:x>
      <cdr:y>1</cdr:y>
    </cdr:to>
    <cdr:sp macro="" textlink="">
      <cdr:nvSpPr>
        <cdr:cNvPr id="3" name="TextBox 56">
          <a:extLst xmlns:a="http://schemas.openxmlformats.org/drawingml/2006/main">
            <a:ext uri="{FF2B5EF4-FFF2-40B4-BE49-F238E27FC236}">
              <a16:creationId xmlns:a16="http://schemas.microsoft.com/office/drawing/2014/main" id="{89A96BBF-72D5-4B7F-84F4-ED75DEF474F5}"/>
            </a:ext>
          </a:extLst>
        </cdr:cNvPr>
        <cdr:cNvSpPr txBox="1"/>
      </cdr:nvSpPr>
      <cdr:spPr>
        <a:xfrm xmlns:a="http://schemas.openxmlformats.org/drawingml/2006/main">
          <a:off x="2873919" y="4324370"/>
          <a:ext cx="1010051" cy="3153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/>
            <a:t>Sieve</a:t>
          </a:r>
          <a:r>
            <a:rPr lang="en-US" sz="1400" b="1" baseline="0"/>
            <a:t> No.</a:t>
          </a:r>
          <a:endParaRPr lang="en-US" sz="1400" b="1"/>
        </a:p>
      </cdr:txBody>
    </cdr:sp>
  </cdr:relSizeAnchor>
  <cdr:relSizeAnchor xmlns:cdr="http://schemas.openxmlformats.org/drawingml/2006/chartDrawing">
    <cdr:from>
      <cdr:x>0.26861</cdr:x>
      <cdr:y>0.32127</cdr:y>
    </cdr:from>
    <cdr:to>
      <cdr:x>0.58557</cdr:x>
      <cdr:y>0.57442</cdr:y>
    </cdr:to>
    <cdr:cxnSp macro="">
      <cdr:nvCxnSpPr>
        <cdr:cNvPr id="5" name="Connector: Elbow 3">
          <a:extLst xmlns:a="http://schemas.openxmlformats.org/drawingml/2006/main">
            <a:ext uri="{FF2B5EF4-FFF2-40B4-BE49-F238E27FC236}">
              <a16:creationId xmlns:a16="http://schemas.microsoft.com/office/drawing/2014/main" id="{EA54EF99-808F-4AE1-A41B-FA9B391591D9}"/>
            </a:ext>
          </a:extLst>
        </cdr:cNvPr>
        <cdr:cNvCxnSpPr/>
      </cdr:nvCxnSpPr>
      <cdr:spPr>
        <a:xfrm xmlns:a="http://schemas.openxmlformats.org/drawingml/2006/main" flipV="1">
          <a:off x="1676921" y="1518625"/>
          <a:ext cx="1978767" cy="1196630"/>
        </a:xfrm>
        <a:prstGeom xmlns:a="http://schemas.openxmlformats.org/drawingml/2006/main" prst="bentConnector3">
          <a:avLst>
            <a:gd name="adj1" fmla="val 50000"/>
          </a:avLst>
        </a:prstGeom>
        <a:ln xmlns:a="http://schemas.openxmlformats.org/drawingml/2006/main" w="15875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0.09433</cdr:x>
      <cdr:y>0.06659</cdr:y>
    </cdr:from>
    <cdr:to>
      <cdr:x>0.34478</cdr:x>
      <cdr:y>0.12181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57171705-5F31-4DD4-81B9-BD21D0C810DB}"/>
            </a:ext>
          </a:extLst>
        </cdr:cNvPr>
        <cdr:cNvSpPr txBox="1"/>
      </cdr:nvSpPr>
      <cdr:spPr>
        <a:xfrm xmlns:a="http://schemas.openxmlformats.org/drawingml/2006/main">
          <a:off x="828675" y="390525"/>
          <a:ext cx="220027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0.13957</cdr:x>
      <cdr:y>0.22888</cdr:y>
    </cdr:from>
    <cdr:to>
      <cdr:x>0.33293</cdr:x>
      <cdr:y>0.50127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EB8BC834-822C-4752-A9C6-6C837EB30C7B}"/>
            </a:ext>
          </a:extLst>
        </cdr:cNvPr>
        <cdr:cNvSpPr txBox="1"/>
      </cdr:nvSpPr>
      <cdr:spPr>
        <a:xfrm xmlns:a="http://schemas.openxmlformats.org/drawingml/2006/main">
          <a:off x="886261" y="1097403"/>
          <a:ext cx="1227861" cy="1306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Allowable range for fine sand is  29-34%</a:t>
          </a:r>
        </a:p>
      </cdr:txBody>
    </cdr:sp>
  </cdr:relSizeAnchor>
  <cdr:relSizeAnchor xmlns:cdr="http://schemas.openxmlformats.org/drawingml/2006/chartDrawing">
    <cdr:from>
      <cdr:x>0.39728</cdr:x>
      <cdr:y>0.26777</cdr:y>
    </cdr:from>
    <cdr:to>
      <cdr:x>0.75646</cdr:x>
      <cdr:y>0.38471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60285E09-DDC0-496D-98EA-23C8658E2F69}"/>
            </a:ext>
          </a:extLst>
        </cdr:cNvPr>
        <cdr:cNvSpPr txBox="1"/>
      </cdr:nvSpPr>
      <cdr:spPr>
        <a:xfrm xmlns:a="http://schemas.openxmlformats.org/drawingml/2006/main">
          <a:off x="2526314" y="1296384"/>
          <a:ext cx="2284032" cy="566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Coarse Sand minimum is 15%</a:t>
          </a:r>
        </a:p>
      </cdr:txBody>
    </cdr:sp>
  </cdr:relSizeAnchor>
  <cdr:relSizeAnchor xmlns:cdr="http://schemas.openxmlformats.org/drawingml/2006/chartDrawing">
    <cdr:from>
      <cdr:x>0.10859</cdr:x>
      <cdr:y>0.24409</cdr:y>
    </cdr:from>
    <cdr:to>
      <cdr:x>0.14167</cdr:x>
      <cdr:y>0.33388</cdr:y>
    </cdr:to>
    <cdr:sp macro="" textlink="">
      <cdr:nvSpPr>
        <cdr:cNvPr id="4" name="Oval 1">
          <a:extLst xmlns:a="http://schemas.openxmlformats.org/drawingml/2006/main">
            <a:ext uri="{FF2B5EF4-FFF2-40B4-BE49-F238E27FC236}">
              <a16:creationId xmlns:a16="http://schemas.microsoft.com/office/drawing/2014/main" id="{A658C10B-2373-44F1-9CEA-BA3860BF15ED}"/>
            </a:ext>
          </a:extLst>
        </cdr:cNvPr>
        <cdr:cNvSpPr/>
      </cdr:nvSpPr>
      <cdr:spPr>
        <a:xfrm xmlns:a="http://schemas.openxmlformats.org/drawingml/2006/main">
          <a:off x="689882" y="1159995"/>
          <a:ext cx="210182" cy="42673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5875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476250</xdr:colOff>
      <xdr:row>107</xdr:row>
      <xdr:rowOff>66675</xdr:rowOff>
    </xdr:from>
    <xdr:to>
      <xdr:col>41</xdr:col>
      <xdr:colOff>590551</xdr:colOff>
      <xdr:row>128</xdr:row>
      <xdr:rowOff>57150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457200</xdr:colOff>
      <xdr:row>135</xdr:row>
      <xdr:rowOff>76200</xdr:rowOff>
    </xdr:from>
    <xdr:to>
      <xdr:col>41</xdr:col>
      <xdr:colOff>571501</xdr:colOff>
      <xdr:row>156</xdr:row>
      <xdr:rowOff>66675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371475</xdr:colOff>
      <xdr:row>163</xdr:row>
      <xdr:rowOff>161925</xdr:rowOff>
    </xdr:from>
    <xdr:to>
      <xdr:col>41</xdr:col>
      <xdr:colOff>485776</xdr:colOff>
      <xdr:row>184</xdr:row>
      <xdr:rowOff>152400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400050</xdr:colOff>
      <xdr:row>78</xdr:row>
      <xdr:rowOff>152400</xdr:rowOff>
    </xdr:from>
    <xdr:to>
      <xdr:col>41</xdr:col>
      <xdr:colOff>514351</xdr:colOff>
      <xdr:row>99</xdr:row>
      <xdr:rowOff>142875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438150</xdr:colOff>
      <xdr:row>191</xdr:row>
      <xdr:rowOff>152400</xdr:rowOff>
    </xdr:from>
    <xdr:to>
      <xdr:col>41</xdr:col>
      <xdr:colOff>552451</xdr:colOff>
      <xdr:row>213</xdr:row>
      <xdr:rowOff>85725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219075</xdr:colOff>
      <xdr:row>57</xdr:row>
      <xdr:rowOff>123825</xdr:rowOff>
    </xdr:from>
    <xdr:to>
      <xdr:col>55</xdr:col>
      <xdr:colOff>47626</xdr:colOff>
      <xdr:row>77</xdr:row>
      <xdr:rowOff>38101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228600</xdr:colOff>
      <xdr:row>80</xdr:row>
      <xdr:rowOff>123825</xdr:rowOff>
    </xdr:from>
    <xdr:to>
      <xdr:col>55</xdr:col>
      <xdr:colOff>57151</xdr:colOff>
      <xdr:row>100</xdr:row>
      <xdr:rowOff>38101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209550</xdr:colOff>
      <xdr:row>107</xdr:row>
      <xdr:rowOff>38100</xdr:rowOff>
    </xdr:from>
    <xdr:to>
      <xdr:col>55</xdr:col>
      <xdr:colOff>38101</xdr:colOff>
      <xdr:row>126</xdr:row>
      <xdr:rowOff>142876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209550</xdr:colOff>
      <xdr:row>135</xdr:row>
      <xdr:rowOff>47625</xdr:rowOff>
    </xdr:from>
    <xdr:to>
      <xdr:col>55</xdr:col>
      <xdr:colOff>38101</xdr:colOff>
      <xdr:row>154</xdr:row>
      <xdr:rowOff>152401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180975</xdr:colOff>
      <xdr:row>163</xdr:row>
      <xdr:rowOff>133350</xdr:rowOff>
    </xdr:from>
    <xdr:to>
      <xdr:col>55</xdr:col>
      <xdr:colOff>9526</xdr:colOff>
      <xdr:row>183</xdr:row>
      <xdr:rowOff>47626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266700</xdr:colOff>
      <xdr:row>191</xdr:row>
      <xdr:rowOff>152400</xdr:rowOff>
    </xdr:from>
    <xdr:to>
      <xdr:col>55</xdr:col>
      <xdr:colOff>95251</xdr:colOff>
      <xdr:row>212</xdr:row>
      <xdr:rowOff>9526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111125</xdr:colOff>
      <xdr:row>56</xdr:row>
      <xdr:rowOff>95250</xdr:rowOff>
    </xdr:from>
    <xdr:to>
      <xdr:col>28</xdr:col>
      <xdr:colOff>215900</xdr:colOff>
      <xdr:row>75</xdr:row>
      <xdr:rowOff>120650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438150</xdr:colOff>
      <xdr:row>80</xdr:row>
      <xdr:rowOff>38100</xdr:rowOff>
    </xdr:from>
    <xdr:to>
      <xdr:col>28</xdr:col>
      <xdr:colOff>542925</xdr:colOff>
      <xdr:row>99</xdr:row>
      <xdr:rowOff>38100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171450</xdr:colOff>
      <xdr:row>108</xdr:row>
      <xdr:rowOff>133350</xdr:rowOff>
    </xdr:from>
    <xdr:to>
      <xdr:col>28</xdr:col>
      <xdr:colOff>276225</xdr:colOff>
      <xdr:row>127</xdr:row>
      <xdr:rowOff>133350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238125</xdr:colOff>
      <xdr:row>136</xdr:row>
      <xdr:rowOff>114300</xdr:rowOff>
    </xdr:from>
    <xdr:to>
      <xdr:col>28</xdr:col>
      <xdr:colOff>342900</xdr:colOff>
      <xdr:row>155</xdr:row>
      <xdr:rowOff>114300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180975</xdr:colOff>
      <xdr:row>164</xdr:row>
      <xdr:rowOff>114300</xdr:rowOff>
    </xdr:from>
    <xdr:to>
      <xdr:col>28</xdr:col>
      <xdr:colOff>285750</xdr:colOff>
      <xdr:row>183</xdr:row>
      <xdr:rowOff>114300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523875</xdr:colOff>
      <xdr:row>193</xdr:row>
      <xdr:rowOff>47625</xdr:rowOff>
    </xdr:from>
    <xdr:to>
      <xdr:col>28</xdr:col>
      <xdr:colOff>19050</xdr:colOff>
      <xdr:row>212</xdr:row>
      <xdr:rowOff>180975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oneCellAnchor>
    <xdr:from>
      <xdr:col>93</xdr:col>
      <xdr:colOff>200342</xdr:colOff>
      <xdr:row>223</xdr:row>
      <xdr:rowOff>132143</xdr:rowOff>
    </xdr:from>
    <xdr:ext cx="1085215" cy="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67532567" y="36260468"/>
          <a:ext cx="1085215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r>
            <a:rPr lang="en-US" sz="1100" i="0">
              <a:latin typeface="Cambria Math"/>
            </a:rPr>
            <a:t>(𝑥+𝑎)^𝑛=∑24_(𝑘=0)^𝑛▒〖(𝑛¦𝑘) 𝑥^𝑘 𝑎^(𝑛−𝑘) 〗</a:t>
          </a:r>
          <a:endParaRPr lang="en-US" sz="1100"/>
        </a:p>
      </xdr:txBody>
    </xdr:sp>
    <xdr:clientData/>
  </xdr:oneCellAnchor>
  <xdr:oneCellAnchor>
    <xdr:from>
      <xdr:col>96</xdr:col>
      <xdr:colOff>19368</xdr:colOff>
      <xdr:row>220</xdr:row>
      <xdr:rowOff>28575</xdr:rowOff>
    </xdr:from>
    <xdr:ext cx="1190307" cy="59336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69180393" y="35718750"/>
          <a:ext cx="1190307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i="0">
              <a:latin typeface="Cambria Math"/>
            </a:rPr>
            <a:t>∑24_(</a:t>
          </a:r>
          <a:r>
            <a:rPr lang="en-US" sz="1100" b="0" i="0">
              <a:latin typeface="Cambria Math"/>
            </a:rPr>
            <a:t>𝑗=1)^(𝑖−1)▒〖𝑟𝑗−∑24_(𝑗=𝑖+1)^𝑛▒𝑟𝑗〗</a:t>
          </a:r>
          <a:endParaRPr lang="en-US" sz="1100"/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0.39403</cdr:x>
      <cdr:y>0.64893</cdr:y>
    </cdr:from>
    <cdr:to>
      <cdr:x>0.57747</cdr:x>
      <cdr:y>0.7325</cdr:y>
    </cdr:to>
    <cdr:sp macro="" textlink="">
      <cdr:nvSpPr>
        <cdr:cNvPr id="53" name="TextBox 52"/>
        <cdr:cNvSpPr txBox="1"/>
      </cdr:nvSpPr>
      <cdr:spPr>
        <a:xfrm xmlns:a="http://schemas.openxmlformats.org/drawingml/2006/main">
          <a:off x="2398254" y="2472423"/>
          <a:ext cx="1116503" cy="318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</a:t>
          </a:r>
          <a:r>
            <a:rPr lang="en-US" sz="1100" b="1" baseline="0"/>
            <a:t> V , Rocky</a:t>
          </a:r>
          <a:endParaRPr lang="en-US" sz="1100" b="1"/>
        </a:p>
      </cdr:txBody>
    </cdr:sp>
  </cdr:relSizeAnchor>
  <cdr:relSizeAnchor xmlns:cdr="http://schemas.openxmlformats.org/drawingml/2006/chartDrawing">
    <cdr:from>
      <cdr:x>0.49645</cdr:x>
      <cdr:y>0.66752</cdr:y>
    </cdr:from>
    <cdr:to>
      <cdr:x>0.74291</cdr:x>
      <cdr:y>0.77238</cdr:y>
    </cdr:to>
    <cdr:sp macro="" textlink="">
      <cdr:nvSpPr>
        <cdr:cNvPr id="54" name="TextBox 53"/>
        <cdr:cNvSpPr txBox="1"/>
      </cdr:nvSpPr>
      <cdr:spPr>
        <a:xfrm xmlns:a="http://schemas.openxmlformats.org/drawingml/2006/main">
          <a:off x="2667001" y="2486023"/>
          <a:ext cx="132397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0.35266</cdr:x>
      <cdr:y>0.25877</cdr:y>
    </cdr:from>
    <cdr:to>
      <cdr:x>0.52288</cdr:x>
      <cdr:y>0.38921</cdr:y>
    </cdr:to>
    <cdr:sp macro="" textlink="">
      <cdr:nvSpPr>
        <cdr:cNvPr id="55" name="TextBox 54"/>
        <cdr:cNvSpPr txBox="1"/>
      </cdr:nvSpPr>
      <cdr:spPr>
        <a:xfrm xmlns:a="http://schemas.openxmlformats.org/drawingml/2006/main" rot="20980170">
          <a:off x="2405098" y="1067268"/>
          <a:ext cx="1160883" cy="537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Zone</a:t>
          </a:r>
          <a:r>
            <a:rPr lang="en-US" sz="1100" baseline="0"/>
            <a:t> II,well graded</a:t>
          </a:r>
        </a:p>
        <a:p xmlns:a="http://schemas.openxmlformats.org/drawingml/2006/main">
          <a:r>
            <a:rPr lang="en-US" sz="1100" baseline="0"/>
            <a:t>1.5" to 3/4"</a:t>
          </a:r>
          <a:endParaRPr lang="en-US" sz="1100"/>
        </a:p>
      </cdr:txBody>
    </cdr:sp>
  </cdr:relSizeAnchor>
  <cdr:relSizeAnchor xmlns:cdr="http://schemas.openxmlformats.org/drawingml/2006/chartDrawing">
    <cdr:from>
      <cdr:x>0.09971</cdr:x>
      <cdr:y>0.33053</cdr:y>
    </cdr:from>
    <cdr:to>
      <cdr:x>0.18298</cdr:x>
      <cdr:y>0.62891</cdr:y>
    </cdr:to>
    <cdr:sp macro="" textlink="">
      <cdr:nvSpPr>
        <cdr:cNvPr id="56" name="TextBox 55"/>
        <cdr:cNvSpPr txBox="1"/>
      </cdr:nvSpPr>
      <cdr:spPr>
        <a:xfrm xmlns:a="http://schemas.openxmlformats.org/drawingml/2006/main" rot="16200000">
          <a:off x="348642" y="1694557"/>
          <a:ext cx="1230615" cy="56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</a:t>
          </a:r>
          <a:r>
            <a:rPr lang="en-US" sz="1100" b="1" baseline="0"/>
            <a:t> I , </a:t>
          </a:r>
        </a:p>
        <a:p xmlns:a="http://schemas.openxmlformats.org/drawingml/2006/main">
          <a:r>
            <a:rPr lang="en-US" sz="1100" b="1" baseline="0"/>
            <a:t>Gab Graded</a:t>
          </a:r>
          <a:endParaRPr lang="en-US" sz="1100" b="1"/>
        </a:p>
      </cdr:txBody>
    </cdr:sp>
  </cdr:relSizeAnchor>
  <cdr:relSizeAnchor xmlns:cdr="http://schemas.openxmlformats.org/drawingml/2006/chartDrawing">
    <cdr:from>
      <cdr:x>0.672</cdr:x>
      <cdr:y>0.24978</cdr:y>
    </cdr:from>
    <cdr:to>
      <cdr:x>0.85108</cdr:x>
      <cdr:y>0.43392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90101" y="951662"/>
          <a:ext cx="1089966" cy="701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III,</a:t>
          </a:r>
        </a:p>
        <a:p xmlns:a="http://schemas.openxmlformats.org/drawingml/2006/main">
          <a:r>
            <a:rPr lang="en-US" sz="1100" b="1"/>
            <a:t>Well</a:t>
          </a:r>
          <a:r>
            <a:rPr lang="en-US" sz="1100" b="1" baseline="0"/>
            <a:t> graded,</a:t>
          </a:r>
        </a:p>
        <a:p xmlns:a="http://schemas.openxmlformats.org/drawingml/2006/main">
          <a:r>
            <a:rPr lang="en-US" sz="1100" b="1" baseline="0"/>
            <a:t>3/4" and finer</a:t>
          </a:r>
          <a:endParaRPr lang="en-US" sz="1100" b="1"/>
        </a:p>
      </cdr:txBody>
    </cdr:sp>
  </cdr:relSizeAnchor>
  <cdr:relSizeAnchor xmlns:cdr="http://schemas.openxmlformats.org/drawingml/2006/chartDrawing">
    <cdr:from>
      <cdr:x>0.18949</cdr:x>
      <cdr:y>0.16443</cdr:y>
    </cdr:from>
    <cdr:to>
      <cdr:x>0.35994</cdr:x>
      <cdr:y>0.2625</cdr:y>
    </cdr:to>
    <cdr:sp macro="" textlink="">
      <cdr:nvSpPr>
        <cdr:cNvPr id="58" name="TextBox 57"/>
        <cdr:cNvSpPr txBox="1"/>
      </cdr:nvSpPr>
      <cdr:spPr>
        <a:xfrm xmlns:a="http://schemas.openxmlformats.org/drawingml/2006/main">
          <a:off x="1153307" y="626478"/>
          <a:ext cx="1037444" cy="373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IV, sticky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0.61407</cdr:x>
      <cdr:y>0.68805</cdr:y>
    </cdr:from>
    <cdr:to>
      <cdr:x>0.79137</cdr:x>
      <cdr:y>0.81337</cdr:y>
    </cdr:to>
    <cdr:sp macro="" textlink="">
      <cdr:nvSpPr>
        <cdr:cNvPr id="64" name="TextBox 63"/>
        <cdr:cNvSpPr txBox="1"/>
      </cdr:nvSpPr>
      <cdr:spPr>
        <a:xfrm xmlns:a="http://schemas.openxmlformats.org/drawingml/2006/main">
          <a:off x="4187925" y="2837723"/>
          <a:ext cx="1209169" cy="516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u="sng"/>
            <a:t>Workability</a:t>
          </a:r>
        </a:p>
        <a:p xmlns:a="http://schemas.openxmlformats.org/drawingml/2006/main">
          <a:r>
            <a:rPr lang="en-US" sz="1100" u="sng"/>
            <a:t>Box</a:t>
          </a:r>
        </a:p>
      </cdr:txBody>
    </cdr:sp>
  </cdr:relSizeAnchor>
  <cdr:relSizeAnchor xmlns:cdr="http://schemas.openxmlformats.org/drawingml/2006/chartDrawing">
    <cdr:from>
      <cdr:x>0.51169</cdr:x>
      <cdr:y>0.48152</cdr:y>
    </cdr:from>
    <cdr:to>
      <cdr:x>0.64315</cdr:x>
      <cdr:y>0.70652</cdr:y>
    </cdr:to>
    <cdr:sp macro="" textlink="">
      <cdr:nvSpPr>
        <cdr:cNvPr id="19" name="Curved Connector 18"/>
        <cdr:cNvSpPr/>
      </cdr:nvSpPr>
      <cdr:spPr>
        <a:xfrm xmlns:a="http://schemas.openxmlformats.org/drawingml/2006/main" rot="16200000" flipV="1">
          <a:off x="3473932" y="2001677"/>
          <a:ext cx="927972" cy="896544"/>
        </a:xfrm>
        <a:prstGeom xmlns:a="http://schemas.openxmlformats.org/drawingml/2006/main" prst="curvedConnector3">
          <a:avLst>
            <a:gd name="adj1" fmla="val 50000"/>
          </a:avLst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0.39403</cdr:x>
      <cdr:y>0.64893</cdr:y>
    </cdr:from>
    <cdr:to>
      <cdr:x>0.57747</cdr:x>
      <cdr:y>0.7325</cdr:y>
    </cdr:to>
    <cdr:sp macro="" textlink="">
      <cdr:nvSpPr>
        <cdr:cNvPr id="53" name="TextBox 52"/>
        <cdr:cNvSpPr txBox="1"/>
      </cdr:nvSpPr>
      <cdr:spPr>
        <a:xfrm xmlns:a="http://schemas.openxmlformats.org/drawingml/2006/main">
          <a:off x="2398254" y="2472423"/>
          <a:ext cx="1116503" cy="318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</a:t>
          </a:r>
          <a:r>
            <a:rPr lang="en-US" sz="1100" b="1" baseline="0"/>
            <a:t> V , Rocky</a:t>
          </a:r>
          <a:endParaRPr lang="en-US" sz="1100" b="1"/>
        </a:p>
      </cdr:txBody>
    </cdr:sp>
  </cdr:relSizeAnchor>
  <cdr:relSizeAnchor xmlns:cdr="http://schemas.openxmlformats.org/drawingml/2006/chartDrawing">
    <cdr:from>
      <cdr:x>0.49645</cdr:x>
      <cdr:y>0.66752</cdr:y>
    </cdr:from>
    <cdr:to>
      <cdr:x>0.74291</cdr:x>
      <cdr:y>0.77238</cdr:y>
    </cdr:to>
    <cdr:sp macro="" textlink="">
      <cdr:nvSpPr>
        <cdr:cNvPr id="54" name="TextBox 53"/>
        <cdr:cNvSpPr txBox="1"/>
      </cdr:nvSpPr>
      <cdr:spPr>
        <a:xfrm xmlns:a="http://schemas.openxmlformats.org/drawingml/2006/main">
          <a:off x="2667001" y="2486023"/>
          <a:ext cx="132397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0.35266</cdr:x>
      <cdr:y>0.25877</cdr:y>
    </cdr:from>
    <cdr:to>
      <cdr:x>0.52288</cdr:x>
      <cdr:y>0.38921</cdr:y>
    </cdr:to>
    <cdr:sp macro="" textlink="">
      <cdr:nvSpPr>
        <cdr:cNvPr id="55" name="TextBox 54"/>
        <cdr:cNvSpPr txBox="1"/>
      </cdr:nvSpPr>
      <cdr:spPr>
        <a:xfrm xmlns:a="http://schemas.openxmlformats.org/drawingml/2006/main" rot="20980170">
          <a:off x="2405098" y="1067268"/>
          <a:ext cx="1160883" cy="537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Zone</a:t>
          </a:r>
          <a:r>
            <a:rPr lang="en-US" sz="1100" baseline="0"/>
            <a:t> II,well graded</a:t>
          </a:r>
        </a:p>
        <a:p xmlns:a="http://schemas.openxmlformats.org/drawingml/2006/main">
          <a:r>
            <a:rPr lang="en-US" sz="1100" baseline="0"/>
            <a:t>1.5" to 3/4"</a:t>
          </a:r>
          <a:endParaRPr lang="en-US" sz="1100"/>
        </a:p>
      </cdr:txBody>
    </cdr:sp>
  </cdr:relSizeAnchor>
  <cdr:relSizeAnchor xmlns:cdr="http://schemas.openxmlformats.org/drawingml/2006/chartDrawing">
    <cdr:from>
      <cdr:x>0.09971</cdr:x>
      <cdr:y>0.33053</cdr:y>
    </cdr:from>
    <cdr:to>
      <cdr:x>0.18298</cdr:x>
      <cdr:y>0.62891</cdr:y>
    </cdr:to>
    <cdr:sp macro="" textlink="">
      <cdr:nvSpPr>
        <cdr:cNvPr id="56" name="TextBox 55"/>
        <cdr:cNvSpPr txBox="1"/>
      </cdr:nvSpPr>
      <cdr:spPr>
        <a:xfrm xmlns:a="http://schemas.openxmlformats.org/drawingml/2006/main" rot="16200000">
          <a:off x="348642" y="1694557"/>
          <a:ext cx="1230615" cy="56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</a:t>
          </a:r>
          <a:r>
            <a:rPr lang="en-US" sz="1100" b="1" baseline="0"/>
            <a:t> I , </a:t>
          </a:r>
        </a:p>
        <a:p xmlns:a="http://schemas.openxmlformats.org/drawingml/2006/main">
          <a:r>
            <a:rPr lang="en-US" sz="1100" b="1" baseline="0"/>
            <a:t>Gab Graded</a:t>
          </a:r>
          <a:endParaRPr lang="en-US" sz="1100" b="1"/>
        </a:p>
      </cdr:txBody>
    </cdr:sp>
  </cdr:relSizeAnchor>
  <cdr:relSizeAnchor xmlns:cdr="http://schemas.openxmlformats.org/drawingml/2006/chartDrawing">
    <cdr:from>
      <cdr:x>0.672</cdr:x>
      <cdr:y>0.24978</cdr:y>
    </cdr:from>
    <cdr:to>
      <cdr:x>0.85108</cdr:x>
      <cdr:y>0.43392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90101" y="951662"/>
          <a:ext cx="1089966" cy="701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III,</a:t>
          </a:r>
        </a:p>
        <a:p xmlns:a="http://schemas.openxmlformats.org/drawingml/2006/main">
          <a:r>
            <a:rPr lang="en-US" sz="1100" b="1"/>
            <a:t>Well</a:t>
          </a:r>
          <a:r>
            <a:rPr lang="en-US" sz="1100" b="1" baseline="0"/>
            <a:t> graded,</a:t>
          </a:r>
        </a:p>
        <a:p xmlns:a="http://schemas.openxmlformats.org/drawingml/2006/main">
          <a:r>
            <a:rPr lang="en-US" sz="1100" b="1" baseline="0"/>
            <a:t>3/4" and finer</a:t>
          </a:r>
          <a:endParaRPr lang="en-US" sz="1100" b="1"/>
        </a:p>
      </cdr:txBody>
    </cdr:sp>
  </cdr:relSizeAnchor>
  <cdr:relSizeAnchor xmlns:cdr="http://schemas.openxmlformats.org/drawingml/2006/chartDrawing">
    <cdr:from>
      <cdr:x>0.18949</cdr:x>
      <cdr:y>0.16443</cdr:y>
    </cdr:from>
    <cdr:to>
      <cdr:x>0.35994</cdr:x>
      <cdr:y>0.2625</cdr:y>
    </cdr:to>
    <cdr:sp macro="" textlink="">
      <cdr:nvSpPr>
        <cdr:cNvPr id="58" name="TextBox 57"/>
        <cdr:cNvSpPr txBox="1"/>
      </cdr:nvSpPr>
      <cdr:spPr>
        <a:xfrm xmlns:a="http://schemas.openxmlformats.org/drawingml/2006/main">
          <a:off x="1153307" y="626478"/>
          <a:ext cx="1037444" cy="373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IV, sticky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0.61407</cdr:x>
      <cdr:y>0.68805</cdr:y>
    </cdr:from>
    <cdr:to>
      <cdr:x>0.79137</cdr:x>
      <cdr:y>0.81337</cdr:y>
    </cdr:to>
    <cdr:sp macro="" textlink="">
      <cdr:nvSpPr>
        <cdr:cNvPr id="64" name="TextBox 63"/>
        <cdr:cNvSpPr txBox="1"/>
      </cdr:nvSpPr>
      <cdr:spPr>
        <a:xfrm xmlns:a="http://schemas.openxmlformats.org/drawingml/2006/main">
          <a:off x="4187925" y="2837723"/>
          <a:ext cx="1209169" cy="516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u="sng"/>
            <a:t>Workability</a:t>
          </a:r>
        </a:p>
        <a:p xmlns:a="http://schemas.openxmlformats.org/drawingml/2006/main">
          <a:r>
            <a:rPr lang="en-US" sz="1100" u="sng"/>
            <a:t>Box</a:t>
          </a:r>
        </a:p>
      </cdr:txBody>
    </cdr:sp>
  </cdr:relSizeAnchor>
  <cdr:relSizeAnchor xmlns:cdr="http://schemas.openxmlformats.org/drawingml/2006/chartDrawing">
    <cdr:from>
      <cdr:x>0.51169</cdr:x>
      <cdr:y>0.48152</cdr:y>
    </cdr:from>
    <cdr:to>
      <cdr:x>0.64315</cdr:x>
      <cdr:y>0.70652</cdr:y>
    </cdr:to>
    <cdr:sp macro="" textlink="">
      <cdr:nvSpPr>
        <cdr:cNvPr id="19" name="Curved Connector 18"/>
        <cdr:cNvSpPr/>
      </cdr:nvSpPr>
      <cdr:spPr>
        <a:xfrm xmlns:a="http://schemas.openxmlformats.org/drawingml/2006/main" rot="16200000" flipV="1">
          <a:off x="3473932" y="2001677"/>
          <a:ext cx="927972" cy="896544"/>
        </a:xfrm>
        <a:prstGeom xmlns:a="http://schemas.openxmlformats.org/drawingml/2006/main" prst="curvedConnector3">
          <a:avLst>
            <a:gd name="adj1" fmla="val 50000"/>
          </a:avLst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0.39403</cdr:x>
      <cdr:y>0.64893</cdr:y>
    </cdr:from>
    <cdr:to>
      <cdr:x>0.57747</cdr:x>
      <cdr:y>0.7325</cdr:y>
    </cdr:to>
    <cdr:sp macro="" textlink="">
      <cdr:nvSpPr>
        <cdr:cNvPr id="53" name="TextBox 52"/>
        <cdr:cNvSpPr txBox="1"/>
      </cdr:nvSpPr>
      <cdr:spPr>
        <a:xfrm xmlns:a="http://schemas.openxmlformats.org/drawingml/2006/main">
          <a:off x="2398254" y="2472423"/>
          <a:ext cx="1116503" cy="318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</a:t>
          </a:r>
          <a:r>
            <a:rPr lang="en-US" sz="1100" b="1" baseline="0"/>
            <a:t> V , Rocky</a:t>
          </a:r>
          <a:endParaRPr lang="en-US" sz="1100" b="1"/>
        </a:p>
      </cdr:txBody>
    </cdr:sp>
  </cdr:relSizeAnchor>
  <cdr:relSizeAnchor xmlns:cdr="http://schemas.openxmlformats.org/drawingml/2006/chartDrawing">
    <cdr:from>
      <cdr:x>0.49645</cdr:x>
      <cdr:y>0.66752</cdr:y>
    </cdr:from>
    <cdr:to>
      <cdr:x>0.74291</cdr:x>
      <cdr:y>0.77238</cdr:y>
    </cdr:to>
    <cdr:sp macro="" textlink="">
      <cdr:nvSpPr>
        <cdr:cNvPr id="54" name="TextBox 53"/>
        <cdr:cNvSpPr txBox="1"/>
      </cdr:nvSpPr>
      <cdr:spPr>
        <a:xfrm xmlns:a="http://schemas.openxmlformats.org/drawingml/2006/main">
          <a:off x="2667001" y="2486023"/>
          <a:ext cx="132397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0.35266</cdr:x>
      <cdr:y>0.25877</cdr:y>
    </cdr:from>
    <cdr:to>
      <cdr:x>0.52288</cdr:x>
      <cdr:y>0.38921</cdr:y>
    </cdr:to>
    <cdr:sp macro="" textlink="">
      <cdr:nvSpPr>
        <cdr:cNvPr id="55" name="TextBox 54"/>
        <cdr:cNvSpPr txBox="1"/>
      </cdr:nvSpPr>
      <cdr:spPr>
        <a:xfrm xmlns:a="http://schemas.openxmlformats.org/drawingml/2006/main" rot="20980170">
          <a:off x="2405098" y="1067268"/>
          <a:ext cx="1160883" cy="537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Zone</a:t>
          </a:r>
          <a:r>
            <a:rPr lang="en-US" sz="1100" baseline="0"/>
            <a:t> II,well graded</a:t>
          </a:r>
        </a:p>
        <a:p xmlns:a="http://schemas.openxmlformats.org/drawingml/2006/main">
          <a:r>
            <a:rPr lang="en-US" sz="1100" baseline="0"/>
            <a:t>1.5" to 3/4"</a:t>
          </a:r>
          <a:endParaRPr lang="en-US" sz="1100"/>
        </a:p>
      </cdr:txBody>
    </cdr:sp>
  </cdr:relSizeAnchor>
  <cdr:relSizeAnchor xmlns:cdr="http://schemas.openxmlformats.org/drawingml/2006/chartDrawing">
    <cdr:from>
      <cdr:x>0.09971</cdr:x>
      <cdr:y>0.33053</cdr:y>
    </cdr:from>
    <cdr:to>
      <cdr:x>0.18298</cdr:x>
      <cdr:y>0.62891</cdr:y>
    </cdr:to>
    <cdr:sp macro="" textlink="">
      <cdr:nvSpPr>
        <cdr:cNvPr id="56" name="TextBox 55"/>
        <cdr:cNvSpPr txBox="1"/>
      </cdr:nvSpPr>
      <cdr:spPr>
        <a:xfrm xmlns:a="http://schemas.openxmlformats.org/drawingml/2006/main" rot="16200000">
          <a:off x="348642" y="1694557"/>
          <a:ext cx="1230615" cy="56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</a:t>
          </a:r>
          <a:r>
            <a:rPr lang="en-US" sz="1100" b="1" baseline="0"/>
            <a:t> I , </a:t>
          </a:r>
        </a:p>
        <a:p xmlns:a="http://schemas.openxmlformats.org/drawingml/2006/main">
          <a:r>
            <a:rPr lang="en-US" sz="1100" b="1" baseline="0"/>
            <a:t>Gab Graded</a:t>
          </a:r>
          <a:endParaRPr lang="en-US" sz="1100" b="1"/>
        </a:p>
      </cdr:txBody>
    </cdr:sp>
  </cdr:relSizeAnchor>
  <cdr:relSizeAnchor xmlns:cdr="http://schemas.openxmlformats.org/drawingml/2006/chartDrawing">
    <cdr:from>
      <cdr:x>0.672</cdr:x>
      <cdr:y>0.24978</cdr:y>
    </cdr:from>
    <cdr:to>
      <cdr:x>0.85108</cdr:x>
      <cdr:y>0.43392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90101" y="951662"/>
          <a:ext cx="1089966" cy="701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III,</a:t>
          </a:r>
        </a:p>
        <a:p xmlns:a="http://schemas.openxmlformats.org/drawingml/2006/main">
          <a:r>
            <a:rPr lang="en-US" sz="1100" b="1"/>
            <a:t>Well</a:t>
          </a:r>
          <a:r>
            <a:rPr lang="en-US" sz="1100" b="1" baseline="0"/>
            <a:t> graded,</a:t>
          </a:r>
        </a:p>
        <a:p xmlns:a="http://schemas.openxmlformats.org/drawingml/2006/main">
          <a:r>
            <a:rPr lang="en-US" sz="1100" b="1" baseline="0"/>
            <a:t>3/4" and finer</a:t>
          </a:r>
          <a:endParaRPr lang="en-US" sz="1100" b="1"/>
        </a:p>
      </cdr:txBody>
    </cdr:sp>
  </cdr:relSizeAnchor>
  <cdr:relSizeAnchor xmlns:cdr="http://schemas.openxmlformats.org/drawingml/2006/chartDrawing">
    <cdr:from>
      <cdr:x>0.18949</cdr:x>
      <cdr:y>0.16443</cdr:y>
    </cdr:from>
    <cdr:to>
      <cdr:x>0.35994</cdr:x>
      <cdr:y>0.2625</cdr:y>
    </cdr:to>
    <cdr:sp macro="" textlink="">
      <cdr:nvSpPr>
        <cdr:cNvPr id="58" name="TextBox 57"/>
        <cdr:cNvSpPr txBox="1"/>
      </cdr:nvSpPr>
      <cdr:spPr>
        <a:xfrm xmlns:a="http://schemas.openxmlformats.org/drawingml/2006/main">
          <a:off x="1153307" y="626478"/>
          <a:ext cx="1037444" cy="373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IV, sticky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0.61407</cdr:x>
      <cdr:y>0.68805</cdr:y>
    </cdr:from>
    <cdr:to>
      <cdr:x>0.79137</cdr:x>
      <cdr:y>0.81337</cdr:y>
    </cdr:to>
    <cdr:sp macro="" textlink="">
      <cdr:nvSpPr>
        <cdr:cNvPr id="64" name="TextBox 63"/>
        <cdr:cNvSpPr txBox="1"/>
      </cdr:nvSpPr>
      <cdr:spPr>
        <a:xfrm xmlns:a="http://schemas.openxmlformats.org/drawingml/2006/main">
          <a:off x="4187925" y="2837723"/>
          <a:ext cx="1209169" cy="516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u="sng"/>
            <a:t>Workability</a:t>
          </a:r>
        </a:p>
        <a:p xmlns:a="http://schemas.openxmlformats.org/drawingml/2006/main">
          <a:r>
            <a:rPr lang="en-US" sz="1100" u="sng"/>
            <a:t>Box</a:t>
          </a:r>
        </a:p>
      </cdr:txBody>
    </cdr:sp>
  </cdr:relSizeAnchor>
  <cdr:relSizeAnchor xmlns:cdr="http://schemas.openxmlformats.org/drawingml/2006/chartDrawing">
    <cdr:from>
      <cdr:x>0.51169</cdr:x>
      <cdr:y>0.48152</cdr:y>
    </cdr:from>
    <cdr:to>
      <cdr:x>0.64315</cdr:x>
      <cdr:y>0.70652</cdr:y>
    </cdr:to>
    <cdr:sp macro="" textlink="">
      <cdr:nvSpPr>
        <cdr:cNvPr id="19" name="Curved Connector 18"/>
        <cdr:cNvSpPr/>
      </cdr:nvSpPr>
      <cdr:spPr>
        <a:xfrm xmlns:a="http://schemas.openxmlformats.org/drawingml/2006/main" rot="16200000" flipV="1">
          <a:off x="3473932" y="2001677"/>
          <a:ext cx="927972" cy="896544"/>
        </a:xfrm>
        <a:prstGeom xmlns:a="http://schemas.openxmlformats.org/drawingml/2006/main" prst="curvedConnector3">
          <a:avLst>
            <a:gd name="adj1" fmla="val 50000"/>
          </a:avLst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0.39403</cdr:x>
      <cdr:y>0.64893</cdr:y>
    </cdr:from>
    <cdr:to>
      <cdr:x>0.57747</cdr:x>
      <cdr:y>0.7325</cdr:y>
    </cdr:to>
    <cdr:sp macro="" textlink="">
      <cdr:nvSpPr>
        <cdr:cNvPr id="53" name="TextBox 52"/>
        <cdr:cNvSpPr txBox="1"/>
      </cdr:nvSpPr>
      <cdr:spPr>
        <a:xfrm xmlns:a="http://schemas.openxmlformats.org/drawingml/2006/main">
          <a:off x="2398254" y="2472423"/>
          <a:ext cx="1116503" cy="318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</a:t>
          </a:r>
          <a:r>
            <a:rPr lang="en-US" sz="1100" b="1" baseline="0"/>
            <a:t> V , Rocky</a:t>
          </a:r>
          <a:endParaRPr lang="en-US" sz="1100" b="1"/>
        </a:p>
      </cdr:txBody>
    </cdr:sp>
  </cdr:relSizeAnchor>
  <cdr:relSizeAnchor xmlns:cdr="http://schemas.openxmlformats.org/drawingml/2006/chartDrawing">
    <cdr:from>
      <cdr:x>0.49645</cdr:x>
      <cdr:y>0.66752</cdr:y>
    </cdr:from>
    <cdr:to>
      <cdr:x>0.74291</cdr:x>
      <cdr:y>0.77238</cdr:y>
    </cdr:to>
    <cdr:sp macro="" textlink="">
      <cdr:nvSpPr>
        <cdr:cNvPr id="54" name="TextBox 53"/>
        <cdr:cNvSpPr txBox="1"/>
      </cdr:nvSpPr>
      <cdr:spPr>
        <a:xfrm xmlns:a="http://schemas.openxmlformats.org/drawingml/2006/main">
          <a:off x="2667001" y="2486023"/>
          <a:ext cx="132397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0.35266</cdr:x>
      <cdr:y>0.25877</cdr:y>
    </cdr:from>
    <cdr:to>
      <cdr:x>0.52288</cdr:x>
      <cdr:y>0.38921</cdr:y>
    </cdr:to>
    <cdr:sp macro="" textlink="">
      <cdr:nvSpPr>
        <cdr:cNvPr id="55" name="TextBox 54"/>
        <cdr:cNvSpPr txBox="1"/>
      </cdr:nvSpPr>
      <cdr:spPr>
        <a:xfrm xmlns:a="http://schemas.openxmlformats.org/drawingml/2006/main" rot="20980170">
          <a:off x="2405098" y="1067268"/>
          <a:ext cx="1160883" cy="537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Zone</a:t>
          </a:r>
          <a:r>
            <a:rPr lang="en-US" sz="1100" baseline="0"/>
            <a:t> II,well graded</a:t>
          </a:r>
        </a:p>
        <a:p xmlns:a="http://schemas.openxmlformats.org/drawingml/2006/main">
          <a:r>
            <a:rPr lang="en-US" sz="1100" baseline="0"/>
            <a:t>1.5" to 3/4"</a:t>
          </a:r>
          <a:endParaRPr lang="en-US" sz="1100"/>
        </a:p>
      </cdr:txBody>
    </cdr:sp>
  </cdr:relSizeAnchor>
  <cdr:relSizeAnchor xmlns:cdr="http://schemas.openxmlformats.org/drawingml/2006/chartDrawing">
    <cdr:from>
      <cdr:x>0.09971</cdr:x>
      <cdr:y>0.33053</cdr:y>
    </cdr:from>
    <cdr:to>
      <cdr:x>0.18298</cdr:x>
      <cdr:y>0.62891</cdr:y>
    </cdr:to>
    <cdr:sp macro="" textlink="">
      <cdr:nvSpPr>
        <cdr:cNvPr id="56" name="TextBox 55"/>
        <cdr:cNvSpPr txBox="1"/>
      </cdr:nvSpPr>
      <cdr:spPr>
        <a:xfrm xmlns:a="http://schemas.openxmlformats.org/drawingml/2006/main" rot="16200000">
          <a:off x="348642" y="1694557"/>
          <a:ext cx="1230615" cy="56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</a:t>
          </a:r>
          <a:r>
            <a:rPr lang="en-US" sz="1100" b="1" baseline="0"/>
            <a:t> I , </a:t>
          </a:r>
        </a:p>
        <a:p xmlns:a="http://schemas.openxmlformats.org/drawingml/2006/main">
          <a:r>
            <a:rPr lang="en-US" sz="1100" b="1" baseline="0"/>
            <a:t>Gab Graded</a:t>
          </a:r>
          <a:endParaRPr lang="en-US" sz="1100" b="1"/>
        </a:p>
      </cdr:txBody>
    </cdr:sp>
  </cdr:relSizeAnchor>
  <cdr:relSizeAnchor xmlns:cdr="http://schemas.openxmlformats.org/drawingml/2006/chartDrawing">
    <cdr:from>
      <cdr:x>0.672</cdr:x>
      <cdr:y>0.24978</cdr:y>
    </cdr:from>
    <cdr:to>
      <cdr:x>0.85108</cdr:x>
      <cdr:y>0.43392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90101" y="951662"/>
          <a:ext cx="1089966" cy="701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III,</a:t>
          </a:r>
        </a:p>
        <a:p xmlns:a="http://schemas.openxmlformats.org/drawingml/2006/main">
          <a:r>
            <a:rPr lang="en-US" sz="1100" b="1"/>
            <a:t>Well</a:t>
          </a:r>
          <a:r>
            <a:rPr lang="en-US" sz="1100" b="1" baseline="0"/>
            <a:t> graded,</a:t>
          </a:r>
        </a:p>
        <a:p xmlns:a="http://schemas.openxmlformats.org/drawingml/2006/main">
          <a:r>
            <a:rPr lang="en-US" sz="1100" b="1" baseline="0"/>
            <a:t>3/4" and finer</a:t>
          </a:r>
          <a:endParaRPr lang="en-US" sz="1100" b="1"/>
        </a:p>
      </cdr:txBody>
    </cdr:sp>
  </cdr:relSizeAnchor>
  <cdr:relSizeAnchor xmlns:cdr="http://schemas.openxmlformats.org/drawingml/2006/chartDrawing">
    <cdr:from>
      <cdr:x>0.18949</cdr:x>
      <cdr:y>0.16443</cdr:y>
    </cdr:from>
    <cdr:to>
      <cdr:x>0.35994</cdr:x>
      <cdr:y>0.2625</cdr:y>
    </cdr:to>
    <cdr:sp macro="" textlink="">
      <cdr:nvSpPr>
        <cdr:cNvPr id="58" name="TextBox 57"/>
        <cdr:cNvSpPr txBox="1"/>
      </cdr:nvSpPr>
      <cdr:spPr>
        <a:xfrm xmlns:a="http://schemas.openxmlformats.org/drawingml/2006/main">
          <a:off x="1153307" y="626478"/>
          <a:ext cx="1037444" cy="373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IV, sticky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0.61407</cdr:x>
      <cdr:y>0.68805</cdr:y>
    </cdr:from>
    <cdr:to>
      <cdr:x>0.79137</cdr:x>
      <cdr:y>0.81337</cdr:y>
    </cdr:to>
    <cdr:sp macro="" textlink="">
      <cdr:nvSpPr>
        <cdr:cNvPr id="64" name="TextBox 63"/>
        <cdr:cNvSpPr txBox="1"/>
      </cdr:nvSpPr>
      <cdr:spPr>
        <a:xfrm xmlns:a="http://schemas.openxmlformats.org/drawingml/2006/main">
          <a:off x="4187925" y="2837723"/>
          <a:ext cx="1209169" cy="516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u="sng"/>
            <a:t>Workability</a:t>
          </a:r>
        </a:p>
        <a:p xmlns:a="http://schemas.openxmlformats.org/drawingml/2006/main">
          <a:r>
            <a:rPr lang="en-US" sz="1100" u="sng"/>
            <a:t>Box</a:t>
          </a:r>
        </a:p>
      </cdr:txBody>
    </cdr:sp>
  </cdr:relSizeAnchor>
  <cdr:relSizeAnchor xmlns:cdr="http://schemas.openxmlformats.org/drawingml/2006/chartDrawing">
    <cdr:from>
      <cdr:x>0.51169</cdr:x>
      <cdr:y>0.48152</cdr:y>
    </cdr:from>
    <cdr:to>
      <cdr:x>0.64315</cdr:x>
      <cdr:y>0.70652</cdr:y>
    </cdr:to>
    <cdr:sp macro="" textlink="">
      <cdr:nvSpPr>
        <cdr:cNvPr id="19" name="Curved Connector 18"/>
        <cdr:cNvSpPr/>
      </cdr:nvSpPr>
      <cdr:spPr>
        <a:xfrm xmlns:a="http://schemas.openxmlformats.org/drawingml/2006/main" rot="16200000" flipV="1">
          <a:off x="3473932" y="2001677"/>
          <a:ext cx="927972" cy="896544"/>
        </a:xfrm>
        <a:prstGeom xmlns:a="http://schemas.openxmlformats.org/drawingml/2006/main" prst="curvedConnector3">
          <a:avLst>
            <a:gd name="adj1" fmla="val 50000"/>
          </a:avLst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0.39403</cdr:x>
      <cdr:y>0.64893</cdr:y>
    </cdr:from>
    <cdr:to>
      <cdr:x>0.57747</cdr:x>
      <cdr:y>0.7325</cdr:y>
    </cdr:to>
    <cdr:sp macro="" textlink="">
      <cdr:nvSpPr>
        <cdr:cNvPr id="53" name="TextBox 52"/>
        <cdr:cNvSpPr txBox="1"/>
      </cdr:nvSpPr>
      <cdr:spPr>
        <a:xfrm xmlns:a="http://schemas.openxmlformats.org/drawingml/2006/main">
          <a:off x="2398254" y="2472423"/>
          <a:ext cx="1116503" cy="318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</a:t>
          </a:r>
          <a:r>
            <a:rPr lang="en-US" sz="1100" b="1" baseline="0"/>
            <a:t> V , Rocky</a:t>
          </a:r>
          <a:endParaRPr lang="en-US" sz="1100" b="1"/>
        </a:p>
      </cdr:txBody>
    </cdr:sp>
  </cdr:relSizeAnchor>
  <cdr:relSizeAnchor xmlns:cdr="http://schemas.openxmlformats.org/drawingml/2006/chartDrawing">
    <cdr:from>
      <cdr:x>0.49645</cdr:x>
      <cdr:y>0.66752</cdr:y>
    </cdr:from>
    <cdr:to>
      <cdr:x>0.74291</cdr:x>
      <cdr:y>0.77238</cdr:y>
    </cdr:to>
    <cdr:sp macro="" textlink="">
      <cdr:nvSpPr>
        <cdr:cNvPr id="54" name="TextBox 53"/>
        <cdr:cNvSpPr txBox="1"/>
      </cdr:nvSpPr>
      <cdr:spPr>
        <a:xfrm xmlns:a="http://schemas.openxmlformats.org/drawingml/2006/main">
          <a:off x="2667001" y="2486023"/>
          <a:ext cx="1323975" cy="39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0.35266</cdr:x>
      <cdr:y>0.25877</cdr:y>
    </cdr:from>
    <cdr:to>
      <cdr:x>0.52288</cdr:x>
      <cdr:y>0.38921</cdr:y>
    </cdr:to>
    <cdr:sp macro="" textlink="">
      <cdr:nvSpPr>
        <cdr:cNvPr id="55" name="TextBox 54"/>
        <cdr:cNvSpPr txBox="1"/>
      </cdr:nvSpPr>
      <cdr:spPr>
        <a:xfrm xmlns:a="http://schemas.openxmlformats.org/drawingml/2006/main" rot="20980170">
          <a:off x="2405098" y="1067268"/>
          <a:ext cx="1160883" cy="537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Zone</a:t>
          </a:r>
          <a:r>
            <a:rPr lang="en-US" sz="1100" baseline="0"/>
            <a:t> II,well graded</a:t>
          </a:r>
        </a:p>
        <a:p xmlns:a="http://schemas.openxmlformats.org/drawingml/2006/main">
          <a:r>
            <a:rPr lang="en-US" sz="1100" baseline="0"/>
            <a:t>1.5" to 3/4"</a:t>
          </a:r>
          <a:endParaRPr lang="en-US" sz="1100"/>
        </a:p>
      </cdr:txBody>
    </cdr:sp>
  </cdr:relSizeAnchor>
  <cdr:relSizeAnchor xmlns:cdr="http://schemas.openxmlformats.org/drawingml/2006/chartDrawing">
    <cdr:from>
      <cdr:x>0.09971</cdr:x>
      <cdr:y>0.33053</cdr:y>
    </cdr:from>
    <cdr:to>
      <cdr:x>0.18298</cdr:x>
      <cdr:y>0.62891</cdr:y>
    </cdr:to>
    <cdr:sp macro="" textlink="">
      <cdr:nvSpPr>
        <cdr:cNvPr id="56" name="TextBox 55"/>
        <cdr:cNvSpPr txBox="1"/>
      </cdr:nvSpPr>
      <cdr:spPr>
        <a:xfrm xmlns:a="http://schemas.openxmlformats.org/drawingml/2006/main" rot="16200000">
          <a:off x="348642" y="1694557"/>
          <a:ext cx="1230615" cy="567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</a:t>
          </a:r>
          <a:r>
            <a:rPr lang="en-US" sz="1100" b="1" baseline="0"/>
            <a:t> I , </a:t>
          </a:r>
        </a:p>
        <a:p xmlns:a="http://schemas.openxmlformats.org/drawingml/2006/main">
          <a:r>
            <a:rPr lang="en-US" sz="1100" b="1" baseline="0"/>
            <a:t>Gab Graded</a:t>
          </a:r>
          <a:endParaRPr lang="en-US" sz="1100" b="1"/>
        </a:p>
      </cdr:txBody>
    </cdr:sp>
  </cdr:relSizeAnchor>
  <cdr:relSizeAnchor xmlns:cdr="http://schemas.openxmlformats.org/drawingml/2006/chartDrawing">
    <cdr:from>
      <cdr:x>0.672</cdr:x>
      <cdr:y>0.24978</cdr:y>
    </cdr:from>
    <cdr:to>
      <cdr:x>0.85108</cdr:x>
      <cdr:y>0.43392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90101" y="951662"/>
          <a:ext cx="1089966" cy="7015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III,</a:t>
          </a:r>
        </a:p>
        <a:p xmlns:a="http://schemas.openxmlformats.org/drawingml/2006/main">
          <a:r>
            <a:rPr lang="en-US" sz="1100" b="1"/>
            <a:t>Well</a:t>
          </a:r>
          <a:r>
            <a:rPr lang="en-US" sz="1100" b="1" baseline="0"/>
            <a:t> graded,</a:t>
          </a:r>
        </a:p>
        <a:p xmlns:a="http://schemas.openxmlformats.org/drawingml/2006/main">
          <a:r>
            <a:rPr lang="en-US" sz="1100" b="1" baseline="0"/>
            <a:t>3/4" and finer</a:t>
          </a:r>
          <a:endParaRPr lang="en-US" sz="1100" b="1"/>
        </a:p>
      </cdr:txBody>
    </cdr:sp>
  </cdr:relSizeAnchor>
  <cdr:relSizeAnchor xmlns:cdr="http://schemas.openxmlformats.org/drawingml/2006/chartDrawing">
    <cdr:from>
      <cdr:x>0.18949</cdr:x>
      <cdr:y>0.16443</cdr:y>
    </cdr:from>
    <cdr:to>
      <cdr:x>0.35994</cdr:x>
      <cdr:y>0.2625</cdr:y>
    </cdr:to>
    <cdr:sp macro="" textlink="">
      <cdr:nvSpPr>
        <cdr:cNvPr id="58" name="TextBox 57"/>
        <cdr:cNvSpPr txBox="1"/>
      </cdr:nvSpPr>
      <cdr:spPr>
        <a:xfrm xmlns:a="http://schemas.openxmlformats.org/drawingml/2006/main">
          <a:off x="1153307" y="626478"/>
          <a:ext cx="1037444" cy="373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Zone IV, sticky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0.61407</cdr:x>
      <cdr:y>0.68805</cdr:y>
    </cdr:from>
    <cdr:to>
      <cdr:x>0.79137</cdr:x>
      <cdr:y>0.81337</cdr:y>
    </cdr:to>
    <cdr:sp macro="" textlink="">
      <cdr:nvSpPr>
        <cdr:cNvPr id="64" name="TextBox 63"/>
        <cdr:cNvSpPr txBox="1"/>
      </cdr:nvSpPr>
      <cdr:spPr>
        <a:xfrm xmlns:a="http://schemas.openxmlformats.org/drawingml/2006/main">
          <a:off x="4187925" y="2837723"/>
          <a:ext cx="1209169" cy="516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u="sng"/>
            <a:t>Workability</a:t>
          </a:r>
        </a:p>
        <a:p xmlns:a="http://schemas.openxmlformats.org/drawingml/2006/main">
          <a:r>
            <a:rPr lang="en-US" sz="1100" u="sng"/>
            <a:t>Box</a:t>
          </a:r>
        </a:p>
      </cdr:txBody>
    </cdr:sp>
  </cdr:relSizeAnchor>
  <cdr:relSizeAnchor xmlns:cdr="http://schemas.openxmlformats.org/drawingml/2006/chartDrawing">
    <cdr:from>
      <cdr:x>0.51169</cdr:x>
      <cdr:y>0.48152</cdr:y>
    </cdr:from>
    <cdr:to>
      <cdr:x>0.64315</cdr:x>
      <cdr:y>0.70652</cdr:y>
    </cdr:to>
    <cdr:sp macro="" textlink="">
      <cdr:nvSpPr>
        <cdr:cNvPr id="19" name="Curved Connector 18"/>
        <cdr:cNvSpPr/>
      </cdr:nvSpPr>
      <cdr:spPr>
        <a:xfrm xmlns:a="http://schemas.openxmlformats.org/drawingml/2006/main" rot="16200000" flipV="1">
          <a:off x="3473932" y="2001677"/>
          <a:ext cx="927972" cy="896544"/>
        </a:xfrm>
        <a:prstGeom xmlns:a="http://schemas.openxmlformats.org/drawingml/2006/main" prst="curvedConnector3">
          <a:avLst>
            <a:gd name="adj1" fmla="val 50000"/>
          </a:avLst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0.13167</cdr:x>
      <cdr:y>0.84375</cdr:y>
    </cdr:from>
    <cdr:to>
      <cdr:x>0.19208</cdr:x>
      <cdr:y>1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855018" y="3340472"/>
          <a:ext cx="602754" cy="43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#200</a:t>
          </a:r>
        </a:p>
      </cdr:txBody>
    </cdr:sp>
  </cdr:relSizeAnchor>
  <cdr:relSizeAnchor xmlns:cdr="http://schemas.openxmlformats.org/drawingml/2006/chartDrawing">
    <cdr:from>
      <cdr:x>0.1802</cdr:x>
      <cdr:y>0.87901</cdr:y>
    </cdr:from>
    <cdr:to>
      <cdr:x>0.21733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 rot="16200000">
          <a:off x="1186577" y="3491627"/>
          <a:ext cx="466726" cy="26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#100</a:t>
          </a:r>
        </a:p>
      </cdr:txBody>
    </cdr:sp>
  </cdr:relSizeAnchor>
  <cdr:relSizeAnchor xmlns:cdr="http://schemas.openxmlformats.org/drawingml/2006/chartDrawing">
    <cdr:from>
      <cdr:x>0.23941</cdr:x>
      <cdr:y>0.82986</cdr:y>
    </cdr:from>
    <cdr:to>
      <cdr:x>0.29358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575606" y="3335969"/>
          <a:ext cx="656336" cy="38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0.2925</cdr:x>
      <cdr:y>0.84375</cdr:y>
    </cdr:from>
    <cdr:to>
      <cdr:x>0.35709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2018878" y="3325541"/>
          <a:ext cx="602754" cy="46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0.34604</cdr:x>
      <cdr:y>0.81424</cdr:y>
    </cdr:from>
    <cdr:to>
      <cdr:x>0.41062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2344422" y="3268657"/>
          <a:ext cx="716593" cy="461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0.39596</cdr:x>
      <cdr:y>0.84722</cdr:y>
    </cdr:from>
    <cdr:to>
      <cdr:x>0.46054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764604" y="3332270"/>
          <a:ext cx="589368" cy="461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0.44938</cdr:x>
      <cdr:y>0.86358</cdr:y>
    </cdr:from>
    <cdr:to>
      <cdr:x>0.54104</cdr:x>
      <cdr:y>0.999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3276457" y="3265167"/>
          <a:ext cx="522400" cy="654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0.49775</cdr:x>
      <cdr:y>0.85764</cdr:y>
    </cdr:from>
    <cdr:to>
      <cdr:x>0.58316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586314" y="3277966"/>
          <a:ext cx="549172" cy="610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0.54996</cdr:x>
      <cdr:y>0.88194</cdr:y>
    </cdr:from>
    <cdr:to>
      <cdr:x>0.6208</cdr:x>
      <cdr:y>0.99653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3960762" y="3370186"/>
          <a:ext cx="442045" cy="506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1/2</a:t>
          </a:r>
        </a:p>
      </cdr:txBody>
    </cdr:sp>
  </cdr:relSizeAnchor>
  <cdr:relSizeAnchor xmlns:cdr="http://schemas.openxmlformats.org/drawingml/2006/chartDrawing">
    <cdr:from>
      <cdr:x>0.59554</cdr:x>
      <cdr:y>0.89383</cdr:y>
    </cdr:from>
    <cdr:to>
      <cdr:x>0.63067</cdr:x>
      <cdr:y>0.99753</cdr:y>
    </cdr:to>
    <cdr:sp macro="" textlink="">
      <cdr:nvSpPr>
        <cdr:cNvPr id="16" name="TextBox 15"/>
        <cdr:cNvSpPr txBox="1"/>
      </cdr:nvSpPr>
      <cdr:spPr>
        <a:xfrm xmlns:a="http://schemas.openxmlformats.org/drawingml/2006/main" rot="16200000">
          <a:off x="4179821" y="3522595"/>
          <a:ext cx="400051" cy="250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3/4</a:t>
          </a:r>
        </a:p>
      </cdr:txBody>
    </cdr:sp>
  </cdr:relSizeAnchor>
  <cdr:relSizeAnchor xmlns:cdr="http://schemas.openxmlformats.org/drawingml/2006/chartDrawing">
    <cdr:from>
      <cdr:x>0.64683</cdr:x>
      <cdr:y>0.89877</cdr:y>
    </cdr:from>
    <cdr:to>
      <cdr:x>0.67733</cdr:x>
      <cdr:y>0.99753</cdr:y>
    </cdr:to>
    <cdr:sp macro="" textlink="">
      <cdr:nvSpPr>
        <cdr:cNvPr id="17" name="TextBox 16"/>
        <cdr:cNvSpPr txBox="1"/>
      </cdr:nvSpPr>
      <cdr:spPr>
        <a:xfrm xmlns:a="http://schemas.openxmlformats.org/drawingml/2006/main" rot="16200000">
          <a:off x="4539260" y="3548656"/>
          <a:ext cx="380998" cy="217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0.69655</cdr:x>
      <cdr:y>0.85679</cdr:y>
    </cdr:from>
    <cdr:to>
      <cdr:x>0.72933</cdr:x>
      <cdr:y>0.99012</cdr:y>
    </cdr:to>
    <cdr:sp macro="" textlink="">
      <cdr:nvSpPr>
        <cdr:cNvPr id="18" name="TextBox 17"/>
        <cdr:cNvSpPr txBox="1"/>
      </cdr:nvSpPr>
      <cdr:spPr>
        <a:xfrm xmlns:a="http://schemas.openxmlformats.org/drawingml/2006/main" rot="16200000">
          <a:off x="4835890" y="3445241"/>
          <a:ext cx="514351" cy="234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 1/2</a:t>
          </a:r>
        </a:p>
      </cdr:txBody>
    </cdr:sp>
  </cdr:relSizeAnchor>
  <cdr:relSizeAnchor xmlns:cdr="http://schemas.openxmlformats.org/drawingml/2006/chartDrawing">
    <cdr:from>
      <cdr:x>0.82908</cdr:x>
      <cdr:y>0.90896</cdr:y>
    </cdr:from>
    <cdr:to>
      <cdr:x>0.98232</cdr:x>
      <cdr:y>0.99119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19550" y="2947989"/>
          <a:ext cx="74295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Sieve</a:t>
          </a:r>
          <a:r>
            <a:rPr lang="en-US" sz="1100" b="1" baseline="0"/>
            <a:t> No.</a:t>
          </a:r>
          <a:endParaRPr lang="en-US" sz="1100" b="1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0.13167</cdr:x>
      <cdr:y>0.84375</cdr:y>
    </cdr:from>
    <cdr:to>
      <cdr:x>0.19208</cdr:x>
      <cdr:y>1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855018" y="3340472"/>
          <a:ext cx="602754" cy="43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#200</a:t>
          </a:r>
        </a:p>
      </cdr:txBody>
    </cdr:sp>
  </cdr:relSizeAnchor>
  <cdr:relSizeAnchor xmlns:cdr="http://schemas.openxmlformats.org/drawingml/2006/chartDrawing">
    <cdr:from>
      <cdr:x>0.1802</cdr:x>
      <cdr:y>0.87901</cdr:y>
    </cdr:from>
    <cdr:to>
      <cdr:x>0.21733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 rot="16200000">
          <a:off x="1186577" y="3491627"/>
          <a:ext cx="466726" cy="26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#100</a:t>
          </a:r>
        </a:p>
      </cdr:txBody>
    </cdr:sp>
  </cdr:relSizeAnchor>
  <cdr:relSizeAnchor xmlns:cdr="http://schemas.openxmlformats.org/drawingml/2006/chartDrawing">
    <cdr:from>
      <cdr:x>0.23941</cdr:x>
      <cdr:y>0.82986</cdr:y>
    </cdr:from>
    <cdr:to>
      <cdr:x>0.29358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575606" y="3335969"/>
          <a:ext cx="656336" cy="38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0.2925</cdr:x>
      <cdr:y>0.84375</cdr:y>
    </cdr:from>
    <cdr:to>
      <cdr:x>0.35709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2018878" y="3325541"/>
          <a:ext cx="602754" cy="46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0.34604</cdr:x>
      <cdr:y>0.81424</cdr:y>
    </cdr:from>
    <cdr:to>
      <cdr:x>0.41062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2344422" y="3268657"/>
          <a:ext cx="716593" cy="461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0.39596</cdr:x>
      <cdr:y>0.84722</cdr:y>
    </cdr:from>
    <cdr:to>
      <cdr:x>0.46054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764604" y="3332270"/>
          <a:ext cx="589368" cy="461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0.44938</cdr:x>
      <cdr:y>0.86358</cdr:y>
    </cdr:from>
    <cdr:to>
      <cdr:x>0.54104</cdr:x>
      <cdr:y>0.999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3276457" y="3265167"/>
          <a:ext cx="522400" cy="654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0.49775</cdr:x>
      <cdr:y>0.85764</cdr:y>
    </cdr:from>
    <cdr:to>
      <cdr:x>0.58316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586314" y="3277966"/>
          <a:ext cx="549172" cy="610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0.54996</cdr:x>
      <cdr:y>0.88194</cdr:y>
    </cdr:from>
    <cdr:to>
      <cdr:x>0.6208</cdr:x>
      <cdr:y>0.99653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3960762" y="3370186"/>
          <a:ext cx="442045" cy="506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1/2</a:t>
          </a:r>
        </a:p>
      </cdr:txBody>
    </cdr:sp>
  </cdr:relSizeAnchor>
  <cdr:relSizeAnchor xmlns:cdr="http://schemas.openxmlformats.org/drawingml/2006/chartDrawing">
    <cdr:from>
      <cdr:x>0.59554</cdr:x>
      <cdr:y>0.89383</cdr:y>
    </cdr:from>
    <cdr:to>
      <cdr:x>0.63067</cdr:x>
      <cdr:y>0.99753</cdr:y>
    </cdr:to>
    <cdr:sp macro="" textlink="">
      <cdr:nvSpPr>
        <cdr:cNvPr id="16" name="TextBox 15"/>
        <cdr:cNvSpPr txBox="1"/>
      </cdr:nvSpPr>
      <cdr:spPr>
        <a:xfrm xmlns:a="http://schemas.openxmlformats.org/drawingml/2006/main" rot="16200000">
          <a:off x="4179821" y="3522595"/>
          <a:ext cx="400051" cy="250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3/4</a:t>
          </a:r>
        </a:p>
      </cdr:txBody>
    </cdr:sp>
  </cdr:relSizeAnchor>
  <cdr:relSizeAnchor xmlns:cdr="http://schemas.openxmlformats.org/drawingml/2006/chartDrawing">
    <cdr:from>
      <cdr:x>0.64683</cdr:x>
      <cdr:y>0.89877</cdr:y>
    </cdr:from>
    <cdr:to>
      <cdr:x>0.67733</cdr:x>
      <cdr:y>0.99753</cdr:y>
    </cdr:to>
    <cdr:sp macro="" textlink="">
      <cdr:nvSpPr>
        <cdr:cNvPr id="17" name="TextBox 16"/>
        <cdr:cNvSpPr txBox="1"/>
      </cdr:nvSpPr>
      <cdr:spPr>
        <a:xfrm xmlns:a="http://schemas.openxmlformats.org/drawingml/2006/main" rot="16200000">
          <a:off x="4539260" y="3548656"/>
          <a:ext cx="380998" cy="217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0.69655</cdr:x>
      <cdr:y>0.85679</cdr:y>
    </cdr:from>
    <cdr:to>
      <cdr:x>0.72933</cdr:x>
      <cdr:y>0.99012</cdr:y>
    </cdr:to>
    <cdr:sp macro="" textlink="">
      <cdr:nvSpPr>
        <cdr:cNvPr id="18" name="TextBox 17"/>
        <cdr:cNvSpPr txBox="1"/>
      </cdr:nvSpPr>
      <cdr:spPr>
        <a:xfrm xmlns:a="http://schemas.openxmlformats.org/drawingml/2006/main" rot="16200000">
          <a:off x="4835890" y="3445241"/>
          <a:ext cx="514351" cy="234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 1/2</a:t>
          </a:r>
        </a:p>
      </cdr:txBody>
    </cdr:sp>
  </cdr:relSizeAnchor>
  <cdr:relSizeAnchor xmlns:cdr="http://schemas.openxmlformats.org/drawingml/2006/chartDrawing">
    <cdr:from>
      <cdr:x>0.82908</cdr:x>
      <cdr:y>0.90896</cdr:y>
    </cdr:from>
    <cdr:to>
      <cdr:x>0.98232</cdr:x>
      <cdr:y>0.99119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19550" y="2947989"/>
          <a:ext cx="74295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Sieve</a:t>
          </a:r>
          <a:r>
            <a:rPr lang="en-US" sz="1100" b="1" baseline="0"/>
            <a:t> No.</a:t>
          </a:r>
          <a:endParaRPr lang="en-US" sz="1100" b="1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0.13167</cdr:x>
      <cdr:y>0.84375</cdr:y>
    </cdr:from>
    <cdr:to>
      <cdr:x>0.19208</cdr:x>
      <cdr:y>1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855018" y="3340472"/>
          <a:ext cx="602754" cy="43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#200</a:t>
          </a:r>
        </a:p>
      </cdr:txBody>
    </cdr:sp>
  </cdr:relSizeAnchor>
  <cdr:relSizeAnchor xmlns:cdr="http://schemas.openxmlformats.org/drawingml/2006/chartDrawing">
    <cdr:from>
      <cdr:x>0.1802</cdr:x>
      <cdr:y>0.87901</cdr:y>
    </cdr:from>
    <cdr:to>
      <cdr:x>0.21733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 rot="16200000">
          <a:off x="1186577" y="3491627"/>
          <a:ext cx="466726" cy="26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#100</a:t>
          </a:r>
        </a:p>
      </cdr:txBody>
    </cdr:sp>
  </cdr:relSizeAnchor>
  <cdr:relSizeAnchor xmlns:cdr="http://schemas.openxmlformats.org/drawingml/2006/chartDrawing">
    <cdr:from>
      <cdr:x>0.23941</cdr:x>
      <cdr:y>0.82986</cdr:y>
    </cdr:from>
    <cdr:to>
      <cdr:x>0.29358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575606" y="3335969"/>
          <a:ext cx="656336" cy="38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0.2925</cdr:x>
      <cdr:y>0.84375</cdr:y>
    </cdr:from>
    <cdr:to>
      <cdr:x>0.35709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2018878" y="3325541"/>
          <a:ext cx="602754" cy="46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0.34604</cdr:x>
      <cdr:y>0.81424</cdr:y>
    </cdr:from>
    <cdr:to>
      <cdr:x>0.41062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2344422" y="3268657"/>
          <a:ext cx="716593" cy="461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0.39596</cdr:x>
      <cdr:y>0.84722</cdr:y>
    </cdr:from>
    <cdr:to>
      <cdr:x>0.46054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764604" y="3332270"/>
          <a:ext cx="589368" cy="461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0.44938</cdr:x>
      <cdr:y>0.86358</cdr:y>
    </cdr:from>
    <cdr:to>
      <cdr:x>0.54104</cdr:x>
      <cdr:y>0.999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3276457" y="3265167"/>
          <a:ext cx="522400" cy="654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0.49775</cdr:x>
      <cdr:y>0.85764</cdr:y>
    </cdr:from>
    <cdr:to>
      <cdr:x>0.58316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586314" y="3277966"/>
          <a:ext cx="549172" cy="610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0.54996</cdr:x>
      <cdr:y>0.88194</cdr:y>
    </cdr:from>
    <cdr:to>
      <cdr:x>0.6208</cdr:x>
      <cdr:y>0.99653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3960762" y="3370186"/>
          <a:ext cx="442045" cy="506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1/2</a:t>
          </a:r>
        </a:p>
      </cdr:txBody>
    </cdr:sp>
  </cdr:relSizeAnchor>
  <cdr:relSizeAnchor xmlns:cdr="http://schemas.openxmlformats.org/drawingml/2006/chartDrawing">
    <cdr:from>
      <cdr:x>0.59554</cdr:x>
      <cdr:y>0.89383</cdr:y>
    </cdr:from>
    <cdr:to>
      <cdr:x>0.63067</cdr:x>
      <cdr:y>0.99753</cdr:y>
    </cdr:to>
    <cdr:sp macro="" textlink="">
      <cdr:nvSpPr>
        <cdr:cNvPr id="16" name="TextBox 15"/>
        <cdr:cNvSpPr txBox="1"/>
      </cdr:nvSpPr>
      <cdr:spPr>
        <a:xfrm xmlns:a="http://schemas.openxmlformats.org/drawingml/2006/main" rot="16200000">
          <a:off x="4179821" y="3522595"/>
          <a:ext cx="400051" cy="250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3/4</a:t>
          </a:r>
        </a:p>
      </cdr:txBody>
    </cdr:sp>
  </cdr:relSizeAnchor>
  <cdr:relSizeAnchor xmlns:cdr="http://schemas.openxmlformats.org/drawingml/2006/chartDrawing">
    <cdr:from>
      <cdr:x>0.64683</cdr:x>
      <cdr:y>0.89877</cdr:y>
    </cdr:from>
    <cdr:to>
      <cdr:x>0.67733</cdr:x>
      <cdr:y>0.99753</cdr:y>
    </cdr:to>
    <cdr:sp macro="" textlink="">
      <cdr:nvSpPr>
        <cdr:cNvPr id="17" name="TextBox 16"/>
        <cdr:cNvSpPr txBox="1"/>
      </cdr:nvSpPr>
      <cdr:spPr>
        <a:xfrm xmlns:a="http://schemas.openxmlformats.org/drawingml/2006/main" rot="16200000">
          <a:off x="4539260" y="3548656"/>
          <a:ext cx="380998" cy="217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0.69655</cdr:x>
      <cdr:y>0.85679</cdr:y>
    </cdr:from>
    <cdr:to>
      <cdr:x>0.72933</cdr:x>
      <cdr:y>0.99012</cdr:y>
    </cdr:to>
    <cdr:sp macro="" textlink="">
      <cdr:nvSpPr>
        <cdr:cNvPr id="18" name="TextBox 17"/>
        <cdr:cNvSpPr txBox="1"/>
      </cdr:nvSpPr>
      <cdr:spPr>
        <a:xfrm xmlns:a="http://schemas.openxmlformats.org/drawingml/2006/main" rot="16200000">
          <a:off x="4835890" y="3445241"/>
          <a:ext cx="514351" cy="234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 1/2</a:t>
          </a:r>
        </a:p>
      </cdr:txBody>
    </cdr:sp>
  </cdr:relSizeAnchor>
  <cdr:relSizeAnchor xmlns:cdr="http://schemas.openxmlformats.org/drawingml/2006/chartDrawing">
    <cdr:from>
      <cdr:x>0.82908</cdr:x>
      <cdr:y>0.90896</cdr:y>
    </cdr:from>
    <cdr:to>
      <cdr:x>0.98232</cdr:x>
      <cdr:y>0.99119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19550" y="2947989"/>
          <a:ext cx="74295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Sieve</a:t>
          </a:r>
          <a:r>
            <a:rPr lang="en-US" sz="1100" b="1" baseline="0"/>
            <a:t> No.</a:t>
          </a:r>
          <a:endParaRPr lang="en-US" sz="1100" b="1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0.13167</cdr:x>
      <cdr:y>0.84375</cdr:y>
    </cdr:from>
    <cdr:to>
      <cdr:x>0.19208</cdr:x>
      <cdr:y>1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855018" y="3340472"/>
          <a:ext cx="602754" cy="43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#200</a:t>
          </a:r>
        </a:p>
      </cdr:txBody>
    </cdr:sp>
  </cdr:relSizeAnchor>
  <cdr:relSizeAnchor xmlns:cdr="http://schemas.openxmlformats.org/drawingml/2006/chartDrawing">
    <cdr:from>
      <cdr:x>0.1802</cdr:x>
      <cdr:y>0.87901</cdr:y>
    </cdr:from>
    <cdr:to>
      <cdr:x>0.21733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 rot="16200000">
          <a:off x="1186577" y="3491627"/>
          <a:ext cx="466726" cy="26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#100</a:t>
          </a:r>
        </a:p>
      </cdr:txBody>
    </cdr:sp>
  </cdr:relSizeAnchor>
  <cdr:relSizeAnchor xmlns:cdr="http://schemas.openxmlformats.org/drawingml/2006/chartDrawing">
    <cdr:from>
      <cdr:x>0.23941</cdr:x>
      <cdr:y>0.82986</cdr:y>
    </cdr:from>
    <cdr:to>
      <cdr:x>0.29358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575606" y="3335969"/>
          <a:ext cx="656336" cy="38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0.2925</cdr:x>
      <cdr:y>0.84375</cdr:y>
    </cdr:from>
    <cdr:to>
      <cdr:x>0.35709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2018878" y="3325541"/>
          <a:ext cx="602754" cy="46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0.34604</cdr:x>
      <cdr:y>0.81424</cdr:y>
    </cdr:from>
    <cdr:to>
      <cdr:x>0.41062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2344422" y="3268657"/>
          <a:ext cx="716593" cy="461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0.39596</cdr:x>
      <cdr:y>0.84722</cdr:y>
    </cdr:from>
    <cdr:to>
      <cdr:x>0.46054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764604" y="3332270"/>
          <a:ext cx="589368" cy="461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0.44938</cdr:x>
      <cdr:y>0.86358</cdr:y>
    </cdr:from>
    <cdr:to>
      <cdr:x>0.54104</cdr:x>
      <cdr:y>0.999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3276457" y="3265167"/>
          <a:ext cx="522400" cy="654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0.49775</cdr:x>
      <cdr:y>0.85764</cdr:y>
    </cdr:from>
    <cdr:to>
      <cdr:x>0.58316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586314" y="3277966"/>
          <a:ext cx="549172" cy="610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0.54996</cdr:x>
      <cdr:y>0.88194</cdr:y>
    </cdr:from>
    <cdr:to>
      <cdr:x>0.6208</cdr:x>
      <cdr:y>0.99653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3960762" y="3370186"/>
          <a:ext cx="442045" cy="506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1/2</a:t>
          </a:r>
        </a:p>
      </cdr:txBody>
    </cdr:sp>
  </cdr:relSizeAnchor>
  <cdr:relSizeAnchor xmlns:cdr="http://schemas.openxmlformats.org/drawingml/2006/chartDrawing">
    <cdr:from>
      <cdr:x>0.59554</cdr:x>
      <cdr:y>0.89383</cdr:y>
    </cdr:from>
    <cdr:to>
      <cdr:x>0.63067</cdr:x>
      <cdr:y>0.99753</cdr:y>
    </cdr:to>
    <cdr:sp macro="" textlink="">
      <cdr:nvSpPr>
        <cdr:cNvPr id="16" name="TextBox 15"/>
        <cdr:cNvSpPr txBox="1"/>
      </cdr:nvSpPr>
      <cdr:spPr>
        <a:xfrm xmlns:a="http://schemas.openxmlformats.org/drawingml/2006/main" rot="16200000">
          <a:off x="4179821" y="3522595"/>
          <a:ext cx="400051" cy="250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3/4</a:t>
          </a:r>
        </a:p>
      </cdr:txBody>
    </cdr:sp>
  </cdr:relSizeAnchor>
  <cdr:relSizeAnchor xmlns:cdr="http://schemas.openxmlformats.org/drawingml/2006/chartDrawing">
    <cdr:from>
      <cdr:x>0.64683</cdr:x>
      <cdr:y>0.89877</cdr:y>
    </cdr:from>
    <cdr:to>
      <cdr:x>0.67733</cdr:x>
      <cdr:y>0.99753</cdr:y>
    </cdr:to>
    <cdr:sp macro="" textlink="">
      <cdr:nvSpPr>
        <cdr:cNvPr id="17" name="TextBox 16"/>
        <cdr:cNvSpPr txBox="1"/>
      </cdr:nvSpPr>
      <cdr:spPr>
        <a:xfrm xmlns:a="http://schemas.openxmlformats.org/drawingml/2006/main" rot="16200000">
          <a:off x="4539260" y="3548656"/>
          <a:ext cx="380998" cy="217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0.69655</cdr:x>
      <cdr:y>0.85679</cdr:y>
    </cdr:from>
    <cdr:to>
      <cdr:x>0.72933</cdr:x>
      <cdr:y>0.99012</cdr:y>
    </cdr:to>
    <cdr:sp macro="" textlink="">
      <cdr:nvSpPr>
        <cdr:cNvPr id="18" name="TextBox 17"/>
        <cdr:cNvSpPr txBox="1"/>
      </cdr:nvSpPr>
      <cdr:spPr>
        <a:xfrm xmlns:a="http://schemas.openxmlformats.org/drawingml/2006/main" rot="16200000">
          <a:off x="4835890" y="3445241"/>
          <a:ext cx="514351" cy="234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 1/2</a:t>
          </a:r>
        </a:p>
      </cdr:txBody>
    </cdr:sp>
  </cdr:relSizeAnchor>
  <cdr:relSizeAnchor xmlns:cdr="http://schemas.openxmlformats.org/drawingml/2006/chartDrawing">
    <cdr:from>
      <cdr:x>0.82908</cdr:x>
      <cdr:y>0.90896</cdr:y>
    </cdr:from>
    <cdr:to>
      <cdr:x>0.98232</cdr:x>
      <cdr:y>0.99119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19550" y="2947989"/>
          <a:ext cx="74295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Sieve</a:t>
          </a:r>
          <a:r>
            <a:rPr lang="en-US" sz="1100" b="1" baseline="0"/>
            <a:t> No.</a:t>
          </a:r>
          <a:endParaRPr lang="en-US" sz="1100" b="1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0.13167</cdr:x>
      <cdr:y>0.84375</cdr:y>
    </cdr:from>
    <cdr:to>
      <cdr:x>0.19208</cdr:x>
      <cdr:y>1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855018" y="3340472"/>
          <a:ext cx="602754" cy="43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#200</a:t>
          </a:r>
        </a:p>
      </cdr:txBody>
    </cdr:sp>
  </cdr:relSizeAnchor>
  <cdr:relSizeAnchor xmlns:cdr="http://schemas.openxmlformats.org/drawingml/2006/chartDrawing">
    <cdr:from>
      <cdr:x>0.1802</cdr:x>
      <cdr:y>0.87901</cdr:y>
    </cdr:from>
    <cdr:to>
      <cdr:x>0.21733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 rot="16200000">
          <a:off x="1186577" y="3491627"/>
          <a:ext cx="466726" cy="26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#100</a:t>
          </a:r>
        </a:p>
      </cdr:txBody>
    </cdr:sp>
  </cdr:relSizeAnchor>
  <cdr:relSizeAnchor xmlns:cdr="http://schemas.openxmlformats.org/drawingml/2006/chartDrawing">
    <cdr:from>
      <cdr:x>0.23941</cdr:x>
      <cdr:y>0.82986</cdr:y>
    </cdr:from>
    <cdr:to>
      <cdr:x>0.29358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575606" y="3335969"/>
          <a:ext cx="656336" cy="38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0.2925</cdr:x>
      <cdr:y>0.84375</cdr:y>
    </cdr:from>
    <cdr:to>
      <cdr:x>0.35709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2018878" y="3325541"/>
          <a:ext cx="602754" cy="46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0.34604</cdr:x>
      <cdr:y>0.81424</cdr:y>
    </cdr:from>
    <cdr:to>
      <cdr:x>0.41062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2344422" y="3268657"/>
          <a:ext cx="716593" cy="461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0.39596</cdr:x>
      <cdr:y>0.84722</cdr:y>
    </cdr:from>
    <cdr:to>
      <cdr:x>0.46054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764604" y="3332270"/>
          <a:ext cx="589368" cy="461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0.44938</cdr:x>
      <cdr:y>0.86358</cdr:y>
    </cdr:from>
    <cdr:to>
      <cdr:x>0.54104</cdr:x>
      <cdr:y>0.999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3276457" y="3265167"/>
          <a:ext cx="522400" cy="654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0.49775</cdr:x>
      <cdr:y>0.85764</cdr:y>
    </cdr:from>
    <cdr:to>
      <cdr:x>0.58316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586314" y="3277966"/>
          <a:ext cx="549172" cy="610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0.54996</cdr:x>
      <cdr:y>0.88194</cdr:y>
    </cdr:from>
    <cdr:to>
      <cdr:x>0.6208</cdr:x>
      <cdr:y>0.99653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3960762" y="3370186"/>
          <a:ext cx="442045" cy="506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1/2</a:t>
          </a:r>
        </a:p>
      </cdr:txBody>
    </cdr:sp>
  </cdr:relSizeAnchor>
  <cdr:relSizeAnchor xmlns:cdr="http://schemas.openxmlformats.org/drawingml/2006/chartDrawing">
    <cdr:from>
      <cdr:x>0.59554</cdr:x>
      <cdr:y>0.89383</cdr:y>
    </cdr:from>
    <cdr:to>
      <cdr:x>0.63067</cdr:x>
      <cdr:y>0.99753</cdr:y>
    </cdr:to>
    <cdr:sp macro="" textlink="">
      <cdr:nvSpPr>
        <cdr:cNvPr id="16" name="TextBox 15"/>
        <cdr:cNvSpPr txBox="1"/>
      </cdr:nvSpPr>
      <cdr:spPr>
        <a:xfrm xmlns:a="http://schemas.openxmlformats.org/drawingml/2006/main" rot="16200000">
          <a:off x="4179821" y="3522595"/>
          <a:ext cx="400051" cy="250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3/4</a:t>
          </a:r>
        </a:p>
      </cdr:txBody>
    </cdr:sp>
  </cdr:relSizeAnchor>
  <cdr:relSizeAnchor xmlns:cdr="http://schemas.openxmlformats.org/drawingml/2006/chartDrawing">
    <cdr:from>
      <cdr:x>0.64683</cdr:x>
      <cdr:y>0.89877</cdr:y>
    </cdr:from>
    <cdr:to>
      <cdr:x>0.67733</cdr:x>
      <cdr:y>0.99753</cdr:y>
    </cdr:to>
    <cdr:sp macro="" textlink="">
      <cdr:nvSpPr>
        <cdr:cNvPr id="17" name="TextBox 16"/>
        <cdr:cNvSpPr txBox="1"/>
      </cdr:nvSpPr>
      <cdr:spPr>
        <a:xfrm xmlns:a="http://schemas.openxmlformats.org/drawingml/2006/main" rot="16200000">
          <a:off x="4539260" y="3548656"/>
          <a:ext cx="380998" cy="217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0.69655</cdr:x>
      <cdr:y>0.85679</cdr:y>
    </cdr:from>
    <cdr:to>
      <cdr:x>0.72933</cdr:x>
      <cdr:y>0.99012</cdr:y>
    </cdr:to>
    <cdr:sp macro="" textlink="">
      <cdr:nvSpPr>
        <cdr:cNvPr id="18" name="TextBox 17"/>
        <cdr:cNvSpPr txBox="1"/>
      </cdr:nvSpPr>
      <cdr:spPr>
        <a:xfrm xmlns:a="http://schemas.openxmlformats.org/drawingml/2006/main" rot="16200000">
          <a:off x="4835890" y="3445241"/>
          <a:ext cx="514351" cy="234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 1/2</a:t>
          </a:r>
        </a:p>
      </cdr:txBody>
    </cdr:sp>
  </cdr:relSizeAnchor>
  <cdr:relSizeAnchor xmlns:cdr="http://schemas.openxmlformats.org/drawingml/2006/chartDrawing">
    <cdr:from>
      <cdr:x>0.82908</cdr:x>
      <cdr:y>0.90896</cdr:y>
    </cdr:from>
    <cdr:to>
      <cdr:x>0.98232</cdr:x>
      <cdr:y>0.99119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19550" y="2947989"/>
          <a:ext cx="74295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Sieve</a:t>
          </a:r>
          <a:r>
            <a:rPr lang="en-US" sz="1100" b="1" baseline="0"/>
            <a:t> No.</a:t>
          </a:r>
          <a:endParaRPr lang="en-US" sz="1100" b="1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</cdr:x>
      <cdr:y>0.18576</cdr:y>
    </cdr:from>
    <cdr:to>
      <cdr:x>1</cdr:x>
      <cdr:y>0.5191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43350" y="5095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0.13167</cdr:x>
      <cdr:y>0.84375</cdr:y>
    </cdr:from>
    <cdr:to>
      <cdr:x>0.19208</cdr:x>
      <cdr:y>1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855018" y="3340472"/>
          <a:ext cx="602754" cy="43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#200</a:t>
          </a:r>
        </a:p>
      </cdr:txBody>
    </cdr:sp>
  </cdr:relSizeAnchor>
  <cdr:relSizeAnchor xmlns:cdr="http://schemas.openxmlformats.org/drawingml/2006/chartDrawing">
    <cdr:from>
      <cdr:x>0.1802</cdr:x>
      <cdr:y>0.87901</cdr:y>
    </cdr:from>
    <cdr:to>
      <cdr:x>0.21733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 rot="16200000">
          <a:off x="1186577" y="3491627"/>
          <a:ext cx="466726" cy="26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#100</a:t>
          </a:r>
        </a:p>
      </cdr:txBody>
    </cdr:sp>
  </cdr:relSizeAnchor>
  <cdr:relSizeAnchor xmlns:cdr="http://schemas.openxmlformats.org/drawingml/2006/chartDrawing">
    <cdr:from>
      <cdr:x>0.23941</cdr:x>
      <cdr:y>0.82986</cdr:y>
    </cdr:from>
    <cdr:to>
      <cdr:x>0.29358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575606" y="3335969"/>
          <a:ext cx="656336" cy="386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0.2925</cdr:x>
      <cdr:y>0.84375</cdr:y>
    </cdr:from>
    <cdr:to>
      <cdr:x>0.35709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2018878" y="3325541"/>
          <a:ext cx="602754" cy="46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0.34604</cdr:x>
      <cdr:y>0.81424</cdr:y>
    </cdr:from>
    <cdr:to>
      <cdr:x>0.41062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2344422" y="3268657"/>
          <a:ext cx="716593" cy="4613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0.39596</cdr:x>
      <cdr:y>0.84722</cdr:y>
    </cdr:from>
    <cdr:to>
      <cdr:x>0.46054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2764604" y="3332270"/>
          <a:ext cx="589368" cy="461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0.44938</cdr:x>
      <cdr:y>0.86358</cdr:y>
    </cdr:from>
    <cdr:to>
      <cdr:x>0.54104</cdr:x>
      <cdr:y>0.999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3276457" y="3265167"/>
          <a:ext cx="522400" cy="654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0.49775</cdr:x>
      <cdr:y>0.85764</cdr:y>
    </cdr:from>
    <cdr:to>
      <cdr:x>0.58316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586314" y="3277966"/>
          <a:ext cx="549172" cy="610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0.54996</cdr:x>
      <cdr:y>0.88194</cdr:y>
    </cdr:from>
    <cdr:to>
      <cdr:x>0.6208</cdr:x>
      <cdr:y>0.99653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3960762" y="3370186"/>
          <a:ext cx="442045" cy="506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1/2</a:t>
          </a:r>
        </a:p>
      </cdr:txBody>
    </cdr:sp>
  </cdr:relSizeAnchor>
  <cdr:relSizeAnchor xmlns:cdr="http://schemas.openxmlformats.org/drawingml/2006/chartDrawing">
    <cdr:from>
      <cdr:x>0.59554</cdr:x>
      <cdr:y>0.89383</cdr:y>
    </cdr:from>
    <cdr:to>
      <cdr:x>0.63067</cdr:x>
      <cdr:y>0.99753</cdr:y>
    </cdr:to>
    <cdr:sp macro="" textlink="">
      <cdr:nvSpPr>
        <cdr:cNvPr id="16" name="TextBox 15"/>
        <cdr:cNvSpPr txBox="1"/>
      </cdr:nvSpPr>
      <cdr:spPr>
        <a:xfrm xmlns:a="http://schemas.openxmlformats.org/drawingml/2006/main" rot="16200000">
          <a:off x="4179821" y="3522595"/>
          <a:ext cx="400051" cy="2509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3/4</a:t>
          </a:r>
        </a:p>
      </cdr:txBody>
    </cdr:sp>
  </cdr:relSizeAnchor>
  <cdr:relSizeAnchor xmlns:cdr="http://schemas.openxmlformats.org/drawingml/2006/chartDrawing">
    <cdr:from>
      <cdr:x>0.64683</cdr:x>
      <cdr:y>0.89877</cdr:y>
    </cdr:from>
    <cdr:to>
      <cdr:x>0.67733</cdr:x>
      <cdr:y>0.99753</cdr:y>
    </cdr:to>
    <cdr:sp macro="" textlink="">
      <cdr:nvSpPr>
        <cdr:cNvPr id="17" name="TextBox 16"/>
        <cdr:cNvSpPr txBox="1"/>
      </cdr:nvSpPr>
      <cdr:spPr>
        <a:xfrm xmlns:a="http://schemas.openxmlformats.org/drawingml/2006/main" rot="16200000">
          <a:off x="4539260" y="3548656"/>
          <a:ext cx="380998" cy="217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0.69655</cdr:x>
      <cdr:y>0.85679</cdr:y>
    </cdr:from>
    <cdr:to>
      <cdr:x>0.72933</cdr:x>
      <cdr:y>0.99012</cdr:y>
    </cdr:to>
    <cdr:sp macro="" textlink="">
      <cdr:nvSpPr>
        <cdr:cNvPr id="18" name="TextBox 17"/>
        <cdr:cNvSpPr txBox="1"/>
      </cdr:nvSpPr>
      <cdr:spPr>
        <a:xfrm xmlns:a="http://schemas.openxmlformats.org/drawingml/2006/main" rot="16200000">
          <a:off x="4835890" y="3445241"/>
          <a:ext cx="514351" cy="234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 1/2</a:t>
          </a:r>
        </a:p>
      </cdr:txBody>
    </cdr:sp>
  </cdr:relSizeAnchor>
  <cdr:relSizeAnchor xmlns:cdr="http://schemas.openxmlformats.org/drawingml/2006/chartDrawing">
    <cdr:from>
      <cdr:x>0.82908</cdr:x>
      <cdr:y>0.90896</cdr:y>
    </cdr:from>
    <cdr:to>
      <cdr:x>0.98232</cdr:x>
      <cdr:y>0.99119</cdr:y>
    </cdr:to>
    <cdr:sp macro="" textlink="">
      <cdr:nvSpPr>
        <cdr:cNvPr id="57" name="TextBox 56"/>
        <cdr:cNvSpPr txBox="1"/>
      </cdr:nvSpPr>
      <cdr:spPr>
        <a:xfrm xmlns:a="http://schemas.openxmlformats.org/drawingml/2006/main">
          <a:off x="4019550" y="2947989"/>
          <a:ext cx="742951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Sieve</a:t>
          </a:r>
          <a:r>
            <a:rPr lang="en-US" sz="1100" b="1" baseline="0"/>
            <a:t> No.</a:t>
          </a:r>
          <a:endParaRPr lang="en-US" sz="1100" b="1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0.83505</cdr:x>
      <cdr:y>0.70865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76800" y="2828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0.80241</cdr:x>
      <cdr:y>0.03945</cdr:y>
    </cdr:from>
    <cdr:to>
      <cdr:x>0.95017</cdr:x>
      <cdr:y>0.13657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48175" y="123825"/>
          <a:ext cx="8191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NMS(D)=1in</a:t>
          </a:r>
        </a:p>
      </cdr:txBody>
    </cdr:sp>
  </cdr:relSizeAnchor>
  <cdr:relSizeAnchor xmlns:cdr="http://schemas.openxmlformats.org/drawingml/2006/chartDrawing">
    <cdr:from>
      <cdr:x>0.46374</cdr:x>
      <cdr:y>0.88187</cdr:y>
    </cdr:from>
    <cdr:to>
      <cdr:x>0.50759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2922371" y="3121155"/>
          <a:ext cx="409575" cy="282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.75</a:t>
          </a:r>
        </a:p>
      </cdr:txBody>
    </cdr:sp>
  </cdr:relSizeAnchor>
  <cdr:relSizeAnchor xmlns:cdr="http://schemas.openxmlformats.org/drawingml/2006/chartDrawing">
    <cdr:from>
      <cdr:x>0.39708</cdr:x>
      <cdr:y>0.89918</cdr:y>
    </cdr:from>
    <cdr:to>
      <cdr:x>0.4254</cdr:x>
      <cdr:y>0.98802</cdr:y>
    </cdr:to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2527893" y="3206157"/>
          <a:ext cx="310557" cy="184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.5</a:t>
          </a:r>
        </a:p>
      </cdr:txBody>
    </cdr:sp>
  </cdr:relSizeAnchor>
  <cdr:relSizeAnchor xmlns:cdr="http://schemas.openxmlformats.org/drawingml/2006/chartDrawing">
    <cdr:from>
      <cdr:x>0.35037</cdr:x>
      <cdr:y>0.89918</cdr:y>
    </cdr:from>
    <cdr:to>
      <cdr:x>0.39854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2266951" y="31623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0.27286</cdr:x>
      <cdr:y>0.88615</cdr:y>
    </cdr:from>
    <cdr:to>
      <cdr:x>0.33527</cdr:x>
      <cdr:y>0.99734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1796373" y="3167970"/>
          <a:ext cx="398234" cy="409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0.86067</cdr:x>
      <cdr:y>0.74468</cdr:y>
    </cdr:from>
    <cdr:to>
      <cdr:x>1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924551" y="29527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0.2119</cdr:x>
      <cdr:y>0.89894</cdr:y>
    </cdr:from>
    <cdr:to>
      <cdr:x>0.25689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357314" y="3252788"/>
          <a:ext cx="3619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0.17199</cdr:x>
      <cdr:y>0.89628</cdr:y>
    </cdr:from>
    <cdr:to>
      <cdr:x>0.21843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1095376" y="3243263"/>
          <a:ext cx="3714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0.13788</cdr:x>
      <cdr:y>0.89362</cdr:y>
    </cdr:from>
    <cdr:to>
      <cdr:x>0.18142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857251" y="3248026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0.11321</cdr:x>
      <cdr:y>0.88298</cdr:y>
    </cdr:from>
    <cdr:to>
      <cdr:x>0.15675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676276" y="3228975"/>
          <a:ext cx="4191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0.09144</cdr:x>
      <cdr:y>0.86436</cdr:y>
    </cdr:from>
    <cdr:to>
      <cdr:x>0.13933</cdr:x>
      <cdr:y>1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14351" y="3181351"/>
          <a:ext cx="4857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0"/>
            <a:t>#100</a:t>
          </a:r>
        </a:p>
      </cdr:txBody>
    </cdr:sp>
  </cdr:relSizeAnchor>
  <cdr:relSizeAnchor xmlns:cdr="http://schemas.openxmlformats.org/drawingml/2006/chartDrawing">
    <cdr:from>
      <cdr:x>0.51669</cdr:x>
      <cdr:y>0.89096</cdr:y>
    </cdr:from>
    <cdr:to>
      <cdr:x>0.56459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352801" y="3228976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0.61516</cdr:x>
      <cdr:y>0.85118</cdr:y>
    </cdr:from>
    <cdr:to>
      <cdr:x>0.64769</cdr:x>
      <cdr:y>1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4790836" y="3343035"/>
          <a:ext cx="558492" cy="261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1.5in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0.83505</cdr:x>
      <cdr:y>0.70865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76800" y="2828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0.80241</cdr:x>
      <cdr:y>0.03945</cdr:y>
    </cdr:from>
    <cdr:to>
      <cdr:x>0.95017</cdr:x>
      <cdr:y>0.13657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48175" y="123825"/>
          <a:ext cx="8191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NMS(D)=1in</a:t>
          </a:r>
        </a:p>
      </cdr:txBody>
    </cdr:sp>
  </cdr:relSizeAnchor>
  <cdr:relSizeAnchor xmlns:cdr="http://schemas.openxmlformats.org/drawingml/2006/chartDrawing">
    <cdr:from>
      <cdr:x>0.46374</cdr:x>
      <cdr:y>0.88187</cdr:y>
    </cdr:from>
    <cdr:to>
      <cdr:x>0.50759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2922371" y="3121155"/>
          <a:ext cx="409575" cy="282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.75</a:t>
          </a:r>
        </a:p>
      </cdr:txBody>
    </cdr:sp>
  </cdr:relSizeAnchor>
  <cdr:relSizeAnchor xmlns:cdr="http://schemas.openxmlformats.org/drawingml/2006/chartDrawing">
    <cdr:from>
      <cdr:x>0.39708</cdr:x>
      <cdr:y>0.89918</cdr:y>
    </cdr:from>
    <cdr:to>
      <cdr:x>0.4254</cdr:x>
      <cdr:y>0.98802</cdr:y>
    </cdr:to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2527893" y="3206157"/>
          <a:ext cx="310557" cy="184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.5</a:t>
          </a:r>
        </a:p>
      </cdr:txBody>
    </cdr:sp>
  </cdr:relSizeAnchor>
  <cdr:relSizeAnchor xmlns:cdr="http://schemas.openxmlformats.org/drawingml/2006/chartDrawing">
    <cdr:from>
      <cdr:x>0.35037</cdr:x>
      <cdr:y>0.89918</cdr:y>
    </cdr:from>
    <cdr:to>
      <cdr:x>0.39854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2266951" y="31623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0.27286</cdr:x>
      <cdr:y>0.88615</cdr:y>
    </cdr:from>
    <cdr:to>
      <cdr:x>0.33527</cdr:x>
      <cdr:y>0.99734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1796373" y="3167970"/>
          <a:ext cx="398234" cy="409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0.86067</cdr:x>
      <cdr:y>0.74468</cdr:y>
    </cdr:from>
    <cdr:to>
      <cdr:x>1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924551" y="29527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0.2119</cdr:x>
      <cdr:y>0.89894</cdr:y>
    </cdr:from>
    <cdr:to>
      <cdr:x>0.25689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357314" y="3252788"/>
          <a:ext cx="3619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0.17199</cdr:x>
      <cdr:y>0.89628</cdr:y>
    </cdr:from>
    <cdr:to>
      <cdr:x>0.21843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1095376" y="3243263"/>
          <a:ext cx="3714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0.13788</cdr:x>
      <cdr:y>0.89362</cdr:y>
    </cdr:from>
    <cdr:to>
      <cdr:x>0.18142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857251" y="3248026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0.11321</cdr:x>
      <cdr:y>0.88298</cdr:y>
    </cdr:from>
    <cdr:to>
      <cdr:x>0.15675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676276" y="3228975"/>
          <a:ext cx="4191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0.09144</cdr:x>
      <cdr:y>0.86436</cdr:y>
    </cdr:from>
    <cdr:to>
      <cdr:x>0.13933</cdr:x>
      <cdr:y>1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14351" y="3181351"/>
          <a:ext cx="4857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0"/>
            <a:t>#100</a:t>
          </a:r>
        </a:p>
      </cdr:txBody>
    </cdr:sp>
  </cdr:relSizeAnchor>
  <cdr:relSizeAnchor xmlns:cdr="http://schemas.openxmlformats.org/drawingml/2006/chartDrawing">
    <cdr:from>
      <cdr:x>0.51669</cdr:x>
      <cdr:y>0.89096</cdr:y>
    </cdr:from>
    <cdr:to>
      <cdr:x>0.56459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352801" y="3228976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0.61516</cdr:x>
      <cdr:y>0.85118</cdr:y>
    </cdr:from>
    <cdr:to>
      <cdr:x>0.64769</cdr:x>
      <cdr:y>1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4790836" y="3343035"/>
          <a:ext cx="558492" cy="261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1.5in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0.83505</cdr:x>
      <cdr:y>0.70865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76800" y="2828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0.80241</cdr:x>
      <cdr:y>0.03945</cdr:y>
    </cdr:from>
    <cdr:to>
      <cdr:x>0.95017</cdr:x>
      <cdr:y>0.13657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48175" y="123825"/>
          <a:ext cx="8191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NMS(D)=1in</a:t>
          </a:r>
        </a:p>
      </cdr:txBody>
    </cdr:sp>
  </cdr:relSizeAnchor>
  <cdr:relSizeAnchor xmlns:cdr="http://schemas.openxmlformats.org/drawingml/2006/chartDrawing">
    <cdr:from>
      <cdr:x>0.46374</cdr:x>
      <cdr:y>0.88187</cdr:y>
    </cdr:from>
    <cdr:to>
      <cdr:x>0.50759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2922371" y="3121155"/>
          <a:ext cx="409575" cy="282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.75</a:t>
          </a:r>
        </a:p>
      </cdr:txBody>
    </cdr:sp>
  </cdr:relSizeAnchor>
  <cdr:relSizeAnchor xmlns:cdr="http://schemas.openxmlformats.org/drawingml/2006/chartDrawing">
    <cdr:from>
      <cdr:x>0.39708</cdr:x>
      <cdr:y>0.89918</cdr:y>
    </cdr:from>
    <cdr:to>
      <cdr:x>0.4254</cdr:x>
      <cdr:y>0.98802</cdr:y>
    </cdr:to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2527893" y="3206157"/>
          <a:ext cx="310557" cy="184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.5</a:t>
          </a:r>
        </a:p>
      </cdr:txBody>
    </cdr:sp>
  </cdr:relSizeAnchor>
  <cdr:relSizeAnchor xmlns:cdr="http://schemas.openxmlformats.org/drawingml/2006/chartDrawing">
    <cdr:from>
      <cdr:x>0.35037</cdr:x>
      <cdr:y>0.89918</cdr:y>
    </cdr:from>
    <cdr:to>
      <cdr:x>0.39854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2266951" y="31623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0.27286</cdr:x>
      <cdr:y>0.88615</cdr:y>
    </cdr:from>
    <cdr:to>
      <cdr:x>0.33527</cdr:x>
      <cdr:y>0.99734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1796373" y="3167970"/>
          <a:ext cx="398234" cy="409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0.86067</cdr:x>
      <cdr:y>0.74468</cdr:y>
    </cdr:from>
    <cdr:to>
      <cdr:x>1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924551" y="29527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0.2119</cdr:x>
      <cdr:y>0.89894</cdr:y>
    </cdr:from>
    <cdr:to>
      <cdr:x>0.25689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357314" y="3252788"/>
          <a:ext cx="3619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0.17199</cdr:x>
      <cdr:y>0.89628</cdr:y>
    </cdr:from>
    <cdr:to>
      <cdr:x>0.21843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1095376" y="3243263"/>
          <a:ext cx="3714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0.13788</cdr:x>
      <cdr:y>0.89362</cdr:y>
    </cdr:from>
    <cdr:to>
      <cdr:x>0.18142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857251" y="3248026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0.11321</cdr:x>
      <cdr:y>0.88298</cdr:y>
    </cdr:from>
    <cdr:to>
      <cdr:x>0.15675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676276" y="3228975"/>
          <a:ext cx="4191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0.09144</cdr:x>
      <cdr:y>0.86436</cdr:y>
    </cdr:from>
    <cdr:to>
      <cdr:x>0.13933</cdr:x>
      <cdr:y>1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14351" y="3181351"/>
          <a:ext cx="4857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0"/>
            <a:t>#100</a:t>
          </a:r>
        </a:p>
      </cdr:txBody>
    </cdr:sp>
  </cdr:relSizeAnchor>
  <cdr:relSizeAnchor xmlns:cdr="http://schemas.openxmlformats.org/drawingml/2006/chartDrawing">
    <cdr:from>
      <cdr:x>0.51669</cdr:x>
      <cdr:y>0.89096</cdr:y>
    </cdr:from>
    <cdr:to>
      <cdr:x>0.56459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352801" y="3228976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0.61516</cdr:x>
      <cdr:y>0.85118</cdr:y>
    </cdr:from>
    <cdr:to>
      <cdr:x>0.64769</cdr:x>
      <cdr:y>1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4790836" y="3343035"/>
          <a:ext cx="558492" cy="261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1.5in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0.83505</cdr:x>
      <cdr:y>0.70865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76800" y="2828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0.80241</cdr:x>
      <cdr:y>0.03945</cdr:y>
    </cdr:from>
    <cdr:to>
      <cdr:x>0.95017</cdr:x>
      <cdr:y>0.13657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48175" y="123825"/>
          <a:ext cx="8191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NMS(D)=1in</a:t>
          </a:r>
        </a:p>
      </cdr:txBody>
    </cdr:sp>
  </cdr:relSizeAnchor>
  <cdr:relSizeAnchor xmlns:cdr="http://schemas.openxmlformats.org/drawingml/2006/chartDrawing">
    <cdr:from>
      <cdr:x>0.46374</cdr:x>
      <cdr:y>0.88187</cdr:y>
    </cdr:from>
    <cdr:to>
      <cdr:x>0.50759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2922371" y="3121155"/>
          <a:ext cx="409575" cy="282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.75</a:t>
          </a:r>
        </a:p>
      </cdr:txBody>
    </cdr:sp>
  </cdr:relSizeAnchor>
  <cdr:relSizeAnchor xmlns:cdr="http://schemas.openxmlformats.org/drawingml/2006/chartDrawing">
    <cdr:from>
      <cdr:x>0.39708</cdr:x>
      <cdr:y>0.89918</cdr:y>
    </cdr:from>
    <cdr:to>
      <cdr:x>0.4254</cdr:x>
      <cdr:y>0.98802</cdr:y>
    </cdr:to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2527893" y="3206157"/>
          <a:ext cx="310557" cy="184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.5</a:t>
          </a:r>
        </a:p>
      </cdr:txBody>
    </cdr:sp>
  </cdr:relSizeAnchor>
  <cdr:relSizeAnchor xmlns:cdr="http://schemas.openxmlformats.org/drawingml/2006/chartDrawing">
    <cdr:from>
      <cdr:x>0.35037</cdr:x>
      <cdr:y>0.89918</cdr:y>
    </cdr:from>
    <cdr:to>
      <cdr:x>0.39854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2266951" y="31623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0.27286</cdr:x>
      <cdr:y>0.88615</cdr:y>
    </cdr:from>
    <cdr:to>
      <cdr:x>0.33527</cdr:x>
      <cdr:y>0.99734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1796373" y="3167970"/>
          <a:ext cx="398234" cy="409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0.86067</cdr:x>
      <cdr:y>0.74468</cdr:y>
    </cdr:from>
    <cdr:to>
      <cdr:x>1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924551" y="29527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0.2119</cdr:x>
      <cdr:y>0.89894</cdr:y>
    </cdr:from>
    <cdr:to>
      <cdr:x>0.25689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357314" y="3252788"/>
          <a:ext cx="3619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0.17199</cdr:x>
      <cdr:y>0.89628</cdr:y>
    </cdr:from>
    <cdr:to>
      <cdr:x>0.21843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1095376" y="3243263"/>
          <a:ext cx="3714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0.13788</cdr:x>
      <cdr:y>0.89362</cdr:y>
    </cdr:from>
    <cdr:to>
      <cdr:x>0.18142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857251" y="3248026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0.11321</cdr:x>
      <cdr:y>0.88298</cdr:y>
    </cdr:from>
    <cdr:to>
      <cdr:x>0.15675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676276" y="3228975"/>
          <a:ext cx="4191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0.09144</cdr:x>
      <cdr:y>0.86436</cdr:y>
    </cdr:from>
    <cdr:to>
      <cdr:x>0.13933</cdr:x>
      <cdr:y>1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14351" y="3181351"/>
          <a:ext cx="4857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0"/>
            <a:t>#100</a:t>
          </a:r>
        </a:p>
      </cdr:txBody>
    </cdr:sp>
  </cdr:relSizeAnchor>
  <cdr:relSizeAnchor xmlns:cdr="http://schemas.openxmlformats.org/drawingml/2006/chartDrawing">
    <cdr:from>
      <cdr:x>0.51669</cdr:x>
      <cdr:y>0.89096</cdr:y>
    </cdr:from>
    <cdr:to>
      <cdr:x>0.56459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352801" y="3228976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0.61516</cdr:x>
      <cdr:y>0.85118</cdr:y>
    </cdr:from>
    <cdr:to>
      <cdr:x>0.64769</cdr:x>
      <cdr:y>1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4790836" y="3343035"/>
          <a:ext cx="558492" cy="261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1.5in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0.83505</cdr:x>
      <cdr:y>0.70865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76800" y="2828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0.80241</cdr:x>
      <cdr:y>0.03945</cdr:y>
    </cdr:from>
    <cdr:to>
      <cdr:x>0.95017</cdr:x>
      <cdr:y>0.13657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48175" y="123825"/>
          <a:ext cx="8191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NMS(D)=1in</a:t>
          </a:r>
        </a:p>
      </cdr:txBody>
    </cdr:sp>
  </cdr:relSizeAnchor>
  <cdr:relSizeAnchor xmlns:cdr="http://schemas.openxmlformats.org/drawingml/2006/chartDrawing">
    <cdr:from>
      <cdr:x>0.46374</cdr:x>
      <cdr:y>0.88187</cdr:y>
    </cdr:from>
    <cdr:to>
      <cdr:x>0.50759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2922371" y="3121155"/>
          <a:ext cx="409575" cy="282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.75</a:t>
          </a:r>
        </a:p>
      </cdr:txBody>
    </cdr:sp>
  </cdr:relSizeAnchor>
  <cdr:relSizeAnchor xmlns:cdr="http://schemas.openxmlformats.org/drawingml/2006/chartDrawing">
    <cdr:from>
      <cdr:x>0.39708</cdr:x>
      <cdr:y>0.89918</cdr:y>
    </cdr:from>
    <cdr:to>
      <cdr:x>0.4254</cdr:x>
      <cdr:y>0.98802</cdr:y>
    </cdr:to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2527893" y="3206157"/>
          <a:ext cx="310557" cy="184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.5</a:t>
          </a:r>
        </a:p>
      </cdr:txBody>
    </cdr:sp>
  </cdr:relSizeAnchor>
  <cdr:relSizeAnchor xmlns:cdr="http://schemas.openxmlformats.org/drawingml/2006/chartDrawing">
    <cdr:from>
      <cdr:x>0.35037</cdr:x>
      <cdr:y>0.89918</cdr:y>
    </cdr:from>
    <cdr:to>
      <cdr:x>0.39854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2266951" y="31623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0.27286</cdr:x>
      <cdr:y>0.88615</cdr:y>
    </cdr:from>
    <cdr:to>
      <cdr:x>0.33527</cdr:x>
      <cdr:y>0.99734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1796373" y="3167970"/>
          <a:ext cx="398234" cy="409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0.86067</cdr:x>
      <cdr:y>0.74468</cdr:y>
    </cdr:from>
    <cdr:to>
      <cdr:x>1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924551" y="29527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0.2119</cdr:x>
      <cdr:y>0.89894</cdr:y>
    </cdr:from>
    <cdr:to>
      <cdr:x>0.25689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357314" y="3252788"/>
          <a:ext cx="3619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0.17199</cdr:x>
      <cdr:y>0.89628</cdr:y>
    </cdr:from>
    <cdr:to>
      <cdr:x>0.21843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1095376" y="3243263"/>
          <a:ext cx="3714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0.13788</cdr:x>
      <cdr:y>0.89362</cdr:y>
    </cdr:from>
    <cdr:to>
      <cdr:x>0.18142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857251" y="3248026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0.11321</cdr:x>
      <cdr:y>0.88298</cdr:y>
    </cdr:from>
    <cdr:to>
      <cdr:x>0.15675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676276" y="3228975"/>
          <a:ext cx="4191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0.09144</cdr:x>
      <cdr:y>0.86436</cdr:y>
    </cdr:from>
    <cdr:to>
      <cdr:x>0.13933</cdr:x>
      <cdr:y>1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14351" y="3181351"/>
          <a:ext cx="4857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0"/>
            <a:t>#100</a:t>
          </a:r>
        </a:p>
      </cdr:txBody>
    </cdr:sp>
  </cdr:relSizeAnchor>
  <cdr:relSizeAnchor xmlns:cdr="http://schemas.openxmlformats.org/drawingml/2006/chartDrawing">
    <cdr:from>
      <cdr:x>0.51669</cdr:x>
      <cdr:y>0.89096</cdr:y>
    </cdr:from>
    <cdr:to>
      <cdr:x>0.56459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352801" y="3228976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0.61516</cdr:x>
      <cdr:y>0.85118</cdr:y>
    </cdr:from>
    <cdr:to>
      <cdr:x>0.64769</cdr:x>
      <cdr:y>1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4790836" y="3343035"/>
          <a:ext cx="558492" cy="261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1.5in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0.83505</cdr:x>
      <cdr:y>0.70865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76800" y="2828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0.80241</cdr:x>
      <cdr:y>0.03945</cdr:y>
    </cdr:from>
    <cdr:to>
      <cdr:x>0.95017</cdr:x>
      <cdr:y>0.13657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48175" y="123825"/>
          <a:ext cx="8191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NMS(D)=1in</a:t>
          </a:r>
        </a:p>
      </cdr:txBody>
    </cdr:sp>
  </cdr:relSizeAnchor>
  <cdr:relSizeAnchor xmlns:cdr="http://schemas.openxmlformats.org/drawingml/2006/chartDrawing">
    <cdr:from>
      <cdr:x>0.46374</cdr:x>
      <cdr:y>0.88187</cdr:y>
    </cdr:from>
    <cdr:to>
      <cdr:x>0.50759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 rot="16200000">
          <a:off x="2922371" y="3121155"/>
          <a:ext cx="409575" cy="2823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.75</a:t>
          </a:r>
        </a:p>
      </cdr:txBody>
    </cdr:sp>
  </cdr:relSizeAnchor>
  <cdr:relSizeAnchor xmlns:cdr="http://schemas.openxmlformats.org/drawingml/2006/chartDrawing">
    <cdr:from>
      <cdr:x>0.39708</cdr:x>
      <cdr:y>0.89918</cdr:y>
    </cdr:from>
    <cdr:to>
      <cdr:x>0.4254</cdr:x>
      <cdr:y>0.98802</cdr:y>
    </cdr:to>
    <cdr:sp macro="" textlink="">
      <cdr:nvSpPr>
        <cdr:cNvPr id="5" name="TextBox 4"/>
        <cdr:cNvSpPr txBox="1"/>
      </cdr:nvSpPr>
      <cdr:spPr>
        <a:xfrm xmlns:a="http://schemas.openxmlformats.org/drawingml/2006/main" rot="16200000">
          <a:off x="2527893" y="3206157"/>
          <a:ext cx="310557" cy="184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.5</a:t>
          </a:r>
        </a:p>
      </cdr:txBody>
    </cdr:sp>
  </cdr:relSizeAnchor>
  <cdr:relSizeAnchor xmlns:cdr="http://schemas.openxmlformats.org/drawingml/2006/chartDrawing">
    <cdr:from>
      <cdr:x>0.35037</cdr:x>
      <cdr:y>0.89918</cdr:y>
    </cdr:from>
    <cdr:to>
      <cdr:x>0.39854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 rot="16200000">
          <a:off x="2266951" y="31623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3/8</a:t>
          </a:r>
        </a:p>
      </cdr:txBody>
    </cdr:sp>
  </cdr:relSizeAnchor>
  <cdr:relSizeAnchor xmlns:cdr="http://schemas.openxmlformats.org/drawingml/2006/chartDrawing">
    <cdr:from>
      <cdr:x>0.27286</cdr:x>
      <cdr:y>0.88615</cdr:y>
    </cdr:from>
    <cdr:to>
      <cdr:x>0.33527</cdr:x>
      <cdr:y>0.99734</cdr:y>
    </cdr:to>
    <cdr:sp macro="" textlink="">
      <cdr:nvSpPr>
        <cdr:cNvPr id="7" name="TextBox 6"/>
        <cdr:cNvSpPr txBox="1"/>
      </cdr:nvSpPr>
      <cdr:spPr>
        <a:xfrm xmlns:a="http://schemas.openxmlformats.org/drawingml/2006/main" rot="16200000">
          <a:off x="1796373" y="3167970"/>
          <a:ext cx="398234" cy="409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#4</a:t>
          </a:r>
        </a:p>
      </cdr:txBody>
    </cdr:sp>
  </cdr:relSizeAnchor>
  <cdr:relSizeAnchor xmlns:cdr="http://schemas.openxmlformats.org/drawingml/2006/chartDrawing">
    <cdr:from>
      <cdr:x>0.86067</cdr:x>
      <cdr:y>0.74468</cdr:y>
    </cdr:from>
    <cdr:to>
      <cdr:x>1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924551" y="29527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0.2119</cdr:x>
      <cdr:y>0.89894</cdr:y>
    </cdr:from>
    <cdr:to>
      <cdr:x>0.25689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 rot="16200000">
          <a:off x="1357314" y="3252788"/>
          <a:ext cx="36195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#8</a:t>
          </a:r>
        </a:p>
      </cdr:txBody>
    </cdr:sp>
  </cdr:relSizeAnchor>
  <cdr:relSizeAnchor xmlns:cdr="http://schemas.openxmlformats.org/drawingml/2006/chartDrawing">
    <cdr:from>
      <cdr:x>0.17199</cdr:x>
      <cdr:y>0.89628</cdr:y>
    </cdr:from>
    <cdr:to>
      <cdr:x>0.21843</cdr:x>
      <cdr:y>1</cdr:y>
    </cdr:to>
    <cdr:sp macro="" textlink="">
      <cdr:nvSpPr>
        <cdr:cNvPr id="10" name="TextBox 9"/>
        <cdr:cNvSpPr txBox="1"/>
      </cdr:nvSpPr>
      <cdr:spPr>
        <a:xfrm xmlns:a="http://schemas.openxmlformats.org/drawingml/2006/main" rot="16200000">
          <a:off x="1095376" y="3243263"/>
          <a:ext cx="3714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#16</a:t>
          </a:r>
        </a:p>
      </cdr:txBody>
    </cdr:sp>
  </cdr:relSizeAnchor>
  <cdr:relSizeAnchor xmlns:cdr="http://schemas.openxmlformats.org/drawingml/2006/chartDrawing">
    <cdr:from>
      <cdr:x>0.13788</cdr:x>
      <cdr:y>0.89362</cdr:y>
    </cdr:from>
    <cdr:to>
      <cdr:x>0.18142</cdr:x>
      <cdr:y>1</cdr:y>
    </cdr:to>
    <cdr:sp macro="" textlink="">
      <cdr:nvSpPr>
        <cdr:cNvPr id="11" name="TextBox 10"/>
        <cdr:cNvSpPr txBox="1"/>
      </cdr:nvSpPr>
      <cdr:spPr>
        <a:xfrm xmlns:a="http://schemas.openxmlformats.org/drawingml/2006/main" rot="16200000">
          <a:off x="857251" y="3248026"/>
          <a:ext cx="381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#30</a:t>
          </a:r>
        </a:p>
      </cdr:txBody>
    </cdr:sp>
  </cdr:relSizeAnchor>
  <cdr:relSizeAnchor xmlns:cdr="http://schemas.openxmlformats.org/drawingml/2006/chartDrawing">
    <cdr:from>
      <cdr:x>0.11321</cdr:x>
      <cdr:y>0.88298</cdr:y>
    </cdr:from>
    <cdr:to>
      <cdr:x>0.15675</cdr:x>
      <cdr:y>1</cdr:y>
    </cdr:to>
    <cdr:sp macro="" textlink="">
      <cdr:nvSpPr>
        <cdr:cNvPr id="12" name="TextBox 11"/>
        <cdr:cNvSpPr txBox="1"/>
      </cdr:nvSpPr>
      <cdr:spPr>
        <a:xfrm xmlns:a="http://schemas.openxmlformats.org/drawingml/2006/main" rot="16200000">
          <a:off x="676276" y="3228975"/>
          <a:ext cx="4191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#50</a:t>
          </a:r>
        </a:p>
      </cdr:txBody>
    </cdr:sp>
  </cdr:relSizeAnchor>
  <cdr:relSizeAnchor xmlns:cdr="http://schemas.openxmlformats.org/drawingml/2006/chartDrawing">
    <cdr:from>
      <cdr:x>0.09144</cdr:x>
      <cdr:y>0.86436</cdr:y>
    </cdr:from>
    <cdr:to>
      <cdr:x>0.13933</cdr:x>
      <cdr:y>1</cdr:y>
    </cdr:to>
    <cdr:sp macro="" textlink="">
      <cdr:nvSpPr>
        <cdr:cNvPr id="13" name="TextBox 12"/>
        <cdr:cNvSpPr txBox="1"/>
      </cdr:nvSpPr>
      <cdr:spPr>
        <a:xfrm xmlns:a="http://schemas.openxmlformats.org/drawingml/2006/main" rot="16200000">
          <a:off x="514351" y="3181351"/>
          <a:ext cx="48577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0"/>
            <a:t>#100</a:t>
          </a:r>
        </a:p>
      </cdr:txBody>
    </cdr:sp>
  </cdr:relSizeAnchor>
  <cdr:relSizeAnchor xmlns:cdr="http://schemas.openxmlformats.org/drawingml/2006/chartDrawing">
    <cdr:from>
      <cdr:x>0.51669</cdr:x>
      <cdr:y>0.89096</cdr:y>
    </cdr:from>
    <cdr:to>
      <cdr:x>0.56459</cdr:x>
      <cdr:y>1</cdr:y>
    </cdr:to>
    <cdr:sp macro="" textlink="">
      <cdr:nvSpPr>
        <cdr:cNvPr id="14" name="TextBox 13"/>
        <cdr:cNvSpPr txBox="1"/>
      </cdr:nvSpPr>
      <cdr:spPr>
        <a:xfrm xmlns:a="http://schemas.openxmlformats.org/drawingml/2006/main" rot="16200000">
          <a:off x="3352801" y="3228976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1in</a:t>
          </a:r>
        </a:p>
      </cdr:txBody>
    </cdr:sp>
  </cdr:relSizeAnchor>
  <cdr:relSizeAnchor xmlns:cdr="http://schemas.openxmlformats.org/drawingml/2006/chartDrawing">
    <cdr:from>
      <cdr:x>0.61516</cdr:x>
      <cdr:y>0.85118</cdr:y>
    </cdr:from>
    <cdr:to>
      <cdr:x>0.64769</cdr:x>
      <cdr:y>1</cdr:y>
    </cdr:to>
    <cdr:sp macro="" textlink="">
      <cdr:nvSpPr>
        <cdr:cNvPr id="15" name="TextBox 14"/>
        <cdr:cNvSpPr txBox="1"/>
      </cdr:nvSpPr>
      <cdr:spPr>
        <a:xfrm xmlns:a="http://schemas.openxmlformats.org/drawingml/2006/main" rot="16200000">
          <a:off x="4790836" y="3343035"/>
          <a:ext cx="558492" cy="2611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1.5in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0</xdr:row>
      <xdr:rowOff>133350</xdr:rowOff>
    </xdr:from>
    <xdr:to>
      <xdr:col>23</xdr:col>
      <xdr:colOff>466725</xdr:colOff>
      <xdr:row>22</xdr:row>
      <xdr:rowOff>28575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34025" y="133350"/>
          <a:ext cx="8953500" cy="41433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23</xdr:col>
      <xdr:colOff>426720</xdr:colOff>
      <xdr:row>50</xdr:row>
      <xdr:rowOff>68580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6400" y="5524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23</xdr:col>
      <xdr:colOff>426720</xdr:colOff>
      <xdr:row>78</xdr:row>
      <xdr:rowOff>87630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86400" y="10858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23</xdr:col>
      <xdr:colOff>426720</xdr:colOff>
      <xdr:row>106</xdr:row>
      <xdr:rowOff>144780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486400" y="16192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23</xdr:col>
      <xdr:colOff>426720</xdr:colOff>
      <xdr:row>133</xdr:row>
      <xdr:rowOff>144780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86400" y="213360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139</xdr:row>
      <xdr:rowOff>0</xdr:rowOff>
    </xdr:from>
    <xdr:to>
      <xdr:col>23</xdr:col>
      <xdr:colOff>426720</xdr:colOff>
      <xdr:row>160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486400" y="26479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166</xdr:row>
      <xdr:rowOff>0</xdr:rowOff>
    </xdr:from>
    <xdr:to>
      <xdr:col>23</xdr:col>
      <xdr:colOff>426720</xdr:colOff>
      <xdr:row>187</xdr:row>
      <xdr:rowOff>144780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86400" y="316230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193</xdr:row>
      <xdr:rowOff>0</xdr:rowOff>
    </xdr:from>
    <xdr:to>
      <xdr:col>23</xdr:col>
      <xdr:colOff>426720</xdr:colOff>
      <xdr:row>214</xdr:row>
      <xdr:rowOff>144780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86400" y="36766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220</xdr:row>
      <xdr:rowOff>0</xdr:rowOff>
    </xdr:from>
    <xdr:to>
      <xdr:col>23</xdr:col>
      <xdr:colOff>426720</xdr:colOff>
      <xdr:row>241</xdr:row>
      <xdr:rowOff>144780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486400" y="4192905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43</xdr:col>
      <xdr:colOff>426720</xdr:colOff>
      <xdr:row>22</xdr:row>
      <xdr:rowOff>87630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678400" y="190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43</xdr:col>
      <xdr:colOff>426720</xdr:colOff>
      <xdr:row>50</xdr:row>
      <xdr:rowOff>68580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678400" y="5524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57</xdr:row>
      <xdr:rowOff>0</xdr:rowOff>
    </xdr:from>
    <xdr:to>
      <xdr:col>43</xdr:col>
      <xdr:colOff>426720</xdr:colOff>
      <xdr:row>78</xdr:row>
      <xdr:rowOff>87630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678400" y="1085850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85</xdr:row>
      <xdr:rowOff>0</xdr:rowOff>
    </xdr:from>
    <xdr:to>
      <xdr:col>43</xdr:col>
      <xdr:colOff>426720</xdr:colOff>
      <xdr:row>106</xdr:row>
      <xdr:rowOff>144780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678400" y="16211550"/>
          <a:ext cx="8961120" cy="414528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112</xdr:row>
      <xdr:rowOff>0</xdr:rowOff>
    </xdr:from>
    <xdr:to>
      <xdr:col>43</xdr:col>
      <xdr:colOff>426720</xdr:colOff>
      <xdr:row>133</xdr:row>
      <xdr:rowOff>144780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678400" y="21355050"/>
          <a:ext cx="8961120" cy="4145280"/>
        </a:xfrm>
        <a:prstGeom prst="rect">
          <a:avLst/>
        </a:prstGeom>
      </xdr:spPr>
    </xdr:pic>
    <xdr:clientData/>
  </xdr:twoCellAnchor>
  <xdr:twoCellAnchor>
    <xdr:from>
      <xdr:col>55</xdr:col>
      <xdr:colOff>390525</xdr:colOff>
      <xdr:row>26</xdr:row>
      <xdr:rowOff>19050</xdr:rowOff>
    </xdr:from>
    <xdr:to>
      <xdr:col>65</xdr:col>
      <xdr:colOff>238125</xdr:colOff>
      <xdr:row>40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55</xdr:col>
      <xdr:colOff>400050</xdr:colOff>
      <xdr:row>45</xdr:row>
      <xdr:rowOff>152399</xdr:rowOff>
    </xdr:from>
    <xdr:to>
      <xdr:col>65</xdr:col>
      <xdr:colOff>285750</xdr:colOff>
      <xdr:row>60</xdr:row>
      <xdr:rowOff>85724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55</xdr:col>
      <xdr:colOff>495299</xdr:colOff>
      <xdr:row>61</xdr:row>
      <xdr:rowOff>142874</xdr:rowOff>
    </xdr:from>
    <xdr:to>
      <xdr:col>65</xdr:col>
      <xdr:colOff>371475</xdr:colOff>
      <xdr:row>78</xdr:row>
      <xdr:rowOff>114300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88</xdr:col>
      <xdr:colOff>266699</xdr:colOff>
      <xdr:row>18</xdr:row>
      <xdr:rowOff>80961</xdr:rowOff>
    </xdr:from>
    <xdr:to>
      <xdr:col>100</xdr:col>
      <xdr:colOff>600075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91</xdr:col>
      <xdr:colOff>247650</xdr:colOff>
      <xdr:row>31</xdr:row>
      <xdr:rowOff>171449</xdr:rowOff>
    </xdr:from>
    <xdr:to>
      <xdr:col>92</xdr:col>
      <xdr:colOff>228599</xdr:colOff>
      <xdr:row>33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6940450" y="6172199"/>
          <a:ext cx="590549" cy="238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20.2%</a:t>
          </a:r>
        </a:p>
      </xdr:txBody>
    </xdr:sp>
    <xdr:clientData/>
  </xdr:twoCellAnchor>
  <xdr:twoCellAnchor>
    <xdr:from>
      <xdr:col>96</xdr:col>
      <xdr:colOff>152400</xdr:colOff>
      <xdr:row>20</xdr:row>
      <xdr:rowOff>28575</xdr:rowOff>
    </xdr:from>
    <xdr:to>
      <xdr:col>97</xdr:col>
      <xdr:colOff>85725</xdr:colOff>
      <xdr:row>21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9893200" y="3886200"/>
          <a:ext cx="542925" cy="209550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17.9%</a:t>
          </a:r>
        </a:p>
      </xdr:txBody>
    </xdr:sp>
    <xdr:clientData/>
  </xdr:twoCellAnchor>
  <xdr:twoCellAnchor>
    <xdr:from>
      <xdr:col>96</xdr:col>
      <xdr:colOff>114300</xdr:colOff>
      <xdr:row>21</xdr:row>
      <xdr:rowOff>133350</xdr:rowOff>
    </xdr:from>
    <xdr:to>
      <xdr:col>97</xdr:col>
      <xdr:colOff>85725</xdr:colOff>
      <xdr:row>22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9855100" y="4191000"/>
          <a:ext cx="581025" cy="209550"/>
        </a:xfrm>
        <a:prstGeom prst="rect">
          <a:avLst/>
        </a:prstGeom>
        <a:solidFill>
          <a:schemeClr val="lt1"/>
        </a:solidFill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18.2%</a:t>
          </a:r>
        </a:p>
      </xdr:txBody>
    </xdr:sp>
    <xdr:clientData/>
  </xdr:twoCellAnchor>
  <xdr:twoCellAnchor>
    <xdr:from>
      <xdr:col>91</xdr:col>
      <xdr:colOff>438150</xdr:colOff>
      <xdr:row>19</xdr:row>
      <xdr:rowOff>171450</xdr:rowOff>
    </xdr:from>
    <xdr:to>
      <xdr:col>92</xdr:col>
      <xdr:colOff>438150</xdr:colOff>
      <xdr:row>21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7130950" y="3829050"/>
          <a:ext cx="609600" cy="238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18.5%</a:t>
          </a: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0.58833</cdr:x>
      <cdr:y>0.24655</cdr:y>
    </cdr:from>
    <cdr:to>
      <cdr:x>0.68833</cdr:x>
      <cdr:y>0.31394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2325" y="766764"/>
          <a:ext cx="5715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0.59</cdr:x>
      <cdr:y>0.27412</cdr:y>
    </cdr:from>
    <cdr:to>
      <cdr:x>0.69</cdr:x>
      <cdr:y>0.33844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71850" y="852489"/>
          <a:ext cx="57150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0.64508</cdr:x>
      <cdr:y>0.24104</cdr:y>
    </cdr:from>
    <cdr:to>
      <cdr:x>0.72603</cdr:x>
      <cdr:y>0.2979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33951" y="928690"/>
          <a:ext cx="619125" cy="219074"/>
        </a:xfrm>
        <a:prstGeom xmlns:a="http://schemas.openxmlformats.org/drawingml/2006/main" prst="rect">
          <a:avLst/>
        </a:prstGeom>
        <a:ln xmlns:a="http://schemas.openxmlformats.org/drawingml/2006/main" w="3175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17.4%</a:t>
          </a:r>
        </a:p>
      </cdr:txBody>
    </cdr:sp>
  </cdr:relSizeAnchor>
  <cdr:relSizeAnchor xmlns:cdr="http://schemas.openxmlformats.org/drawingml/2006/chartDrawing">
    <cdr:from>
      <cdr:x>0.65131</cdr:x>
      <cdr:y>0.32757</cdr:y>
    </cdr:from>
    <cdr:to>
      <cdr:x>0.73101</cdr:x>
      <cdr:y>0.37701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981576" y="1262064"/>
          <a:ext cx="60960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19.1%</a:t>
          </a:r>
        </a:p>
      </cdr:txBody>
    </cdr:sp>
  </cdr:relSizeAnchor>
  <cdr:relSizeAnchor xmlns:cdr="http://schemas.openxmlformats.org/drawingml/2006/chartDrawing">
    <cdr:from>
      <cdr:x>0.61768</cdr:x>
      <cdr:y>0.43387</cdr:y>
    </cdr:from>
    <cdr:to>
      <cdr:x>0.69863</cdr:x>
      <cdr:y>0.48826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724400" y="1671639"/>
          <a:ext cx="6191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0.64633</cdr:x>
      <cdr:y>0.39679</cdr:y>
    </cdr:from>
    <cdr:to>
      <cdr:x>0.72105</cdr:x>
      <cdr:y>0.45365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4943476" y="1528764"/>
          <a:ext cx="57150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19.8%</a:t>
          </a:r>
        </a:p>
      </cdr:txBody>
    </cdr:sp>
  </cdr:relSizeAnchor>
  <cdr:relSizeAnchor xmlns:cdr="http://schemas.openxmlformats.org/drawingml/2006/chartDrawing">
    <cdr:from>
      <cdr:x>0.22042</cdr:x>
      <cdr:y>0.51792</cdr:y>
    </cdr:from>
    <cdr:to>
      <cdr:x>0.29639</cdr:x>
      <cdr:y>0.56984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1685925" y="1995488"/>
          <a:ext cx="58102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20.5%</a:t>
          </a:r>
        </a:p>
      </cdr:txBody>
    </cdr:sp>
  </cdr:relSizeAnchor>
  <cdr:relSizeAnchor xmlns:cdr="http://schemas.openxmlformats.org/drawingml/2006/chartDrawing">
    <cdr:from>
      <cdr:x>0.1868</cdr:x>
      <cdr:y>0.3597</cdr:y>
    </cdr:from>
    <cdr:to>
      <cdr:x>0.25778</cdr:x>
      <cdr:y>0.41656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1428751" y="1385889"/>
          <a:ext cx="54292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18.6%</a:t>
          </a:r>
        </a:p>
      </cdr:txBody>
    </cdr:sp>
  </cdr:relSizeAnchor>
  <cdr:relSizeAnchor xmlns:cdr="http://schemas.openxmlformats.org/drawingml/2006/chartDrawing">
    <cdr:from>
      <cdr:x>0.22914</cdr:x>
      <cdr:y>0.21384</cdr:y>
    </cdr:from>
    <cdr:to>
      <cdr:x>0.29514</cdr:x>
      <cdr:y>0.26823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1752601" y="823914"/>
          <a:ext cx="5048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18%</a:t>
          </a:r>
        </a:p>
      </cdr:txBody>
    </cdr:sp>
  </cdr:relSizeAnchor>
  <cdr:relSizeAnchor xmlns:cdr="http://schemas.openxmlformats.org/drawingml/2006/chartDrawing">
    <cdr:from>
      <cdr:x>0.467</cdr:x>
      <cdr:y>0.22126</cdr:y>
    </cdr:from>
    <cdr:to>
      <cdr:x>0.55293</cdr:x>
      <cdr:y>0.26823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3571876" y="852489"/>
          <a:ext cx="6572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0.39352</cdr:x>
      <cdr:y>0.21879</cdr:y>
    </cdr:from>
    <cdr:to>
      <cdr:x>0.46451</cdr:x>
      <cdr:y>0.28554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3009901" y="842963"/>
          <a:ext cx="542925" cy="257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19.9%</a:t>
          </a:r>
        </a:p>
      </cdr:txBody>
    </cdr:sp>
  </cdr:relSizeAnchor>
  <cdr:relSizeAnchor xmlns:cdr="http://schemas.openxmlformats.org/drawingml/2006/chartDrawing">
    <cdr:from>
      <cdr:x>0.42341</cdr:x>
      <cdr:y>0.38443</cdr:y>
    </cdr:from>
    <cdr:to>
      <cdr:x>0.4944</cdr:x>
      <cdr:y>0.45612</cdr:y>
    </cdr:to>
    <cdr:sp macro="" textlink="">
      <cdr:nvSpPr>
        <cdr:cNvPr id="13" name="TextBox 12"/>
        <cdr:cNvSpPr txBox="1"/>
      </cdr:nvSpPr>
      <cdr:spPr>
        <a:xfrm xmlns:a="http://schemas.openxmlformats.org/drawingml/2006/main">
          <a:off x="3238501" y="1481138"/>
          <a:ext cx="5429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17.7%</a:t>
          </a:r>
        </a:p>
      </cdr:txBody>
    </cdr:sp>
  </cdr:relSizeAnchor>
  <cdr:relSizeAnchor xmlns:cdr="http://schemas.openxmlformats.org/drawingml/2006/chartDrawing">
    <cdr:from>
      <cdr:x>0.38356</cdr:x>
      <cdr:y>0.53523</cdr:y>
    </cdr:from>
    <cdr:to>
      <cdr:x>0.46077</cdr:x>
      <cdr:y>0.59703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2933701" y="2062164"/>
          <a:ext cx="59055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19.2%</a:t>
          </a:r>
        </a:p>
      </cdr:txBody>
    </cdr:sp>
  </cdr:relSizeAnchor>
  <cdr:relSizeAnchor xmlns:cdr="http://schemas.openxmlformats.org/drawingml/2006/chartDrawing">
    <cdr:from>
      <cdr:x>0.34371</cdr:x>
      <cdr:y>0.68356</cdr:y>
    </cdr:from>
    <cdr:to>
      <cdr:x>0.42715</cdr:x>
      <cdr:y>0.74042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2628901" y="2633664"/>
          <a:ext cx="63817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20.2%</a:t>
          </a:r>
        </a:p>
      </cdr:txBody>
    </cdr:sp>
  </cdr:relSizeAnchor>
  <cdr:relSizeAnchor xmlns:cdr="http://schemas.openxmlformats.org/drawingml/2006/chartDrawing">
    <cdr:from>
      <cdr:x>0.30012</cdr:x>
      <cdr:y>0.41656</cdr:y>
    </cdr:from>
    <cdr:to>
      <cdr:x>0.36986</cdr:x>
      <cdr:y>0.48331</cdr:y>
    </cdr:to>
    <cdr:sp macro="" textlink="">
      <cdr:nvSpPr>
        <cdr:cNvPr id="16" name="TextBox 15"/>
        <cdr:cNvSpPr txBox="1"/>
      </cdr:nvSpPr>
      <cdr:spPr>
        <a:xfrm xmlns:a="http://schemas.openxmlformats.org/drawingml/2006/main">
          <a:off x="2295527" y="1604964"/>
          <a:ext cx="5334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18.6%</a:t>
          </a:r>
        </a:p>
      </cdr:txBody>
    </cdr:sp>
  </cdr:relSizeAnchor>
  <cdr:relSizeAnchor xmlns:cdr="http://schemas.openxmlformats.org/drawingml/2006/chartDrawing">
    <cdr:from>
      <cdr:x>0.599</cdr:x>
      <cdr:y>0.5649</cdr:y>
    </cdr:from>
    <cdr:to>
      <cdr:x>0.71108</cdr:x>
      <cdr:y>0.6267</cdr:y>
    </cdr:to>
    <cdr:sp macro="" textlink="">
      <cdr:nvSpPr>
        <cdr:cNvPr id="20" name="Line Callout 2 (No Border) 19"/>
        <cdr:cNvSpPr/>
      </cdr:nvSpPr>
      <cdr:spPr>
        <a:xfrm xmlns:a="http://schemas.openxmlformats.org/drawingml/2006/main">
          <a:off x="4581526" y="2176464"/>
          <a:ext cx="857250" cy="238125"/>
        </a:xfrm>
        <a:prstGeom xmlns:a="http://schemas.openxmlformats.org/drawingml/2006/main" prst="callout2">
          <a:avLst>
            <a:gd name="adj1" fmla="val 18750"/>
            <a:gd name="adj2" fmla="val -8333"/>
            <a:gd name="adj3" fmla="val 18750"/>
            <a:gd name="adj4" fmla="val -16667"/>
            <a:gd name="adj5" fmla="val -303500"/>
            <a:gd name="adj6" fmla="val 45114"/>
          </a:avLst>
        </a:prstGeom>
        <a:solidFill xmlns:a="http://schemas.openxmlformats.org/drawingml/2006/main">
          <a:schemeClr val="accent5">
            <a:lumMod val="60000"/>
            <a:lumOff val="40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void  Ratio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469867</xdr:colOff>
      <xdr:row>13</xdr:row>
      <xdr:rowOff>28575</xdr:rowOff>
    </xdr:from>
    <xdr:ext cx="911257" cy="476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2747592" y="2514600"/>
          <a:ext cx="911257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25</xdr:col>
      <xdr:colOff>333375</xdr:colOff>
      <xdr:row>31</xdr:row>
      <xdr:rowOff>123824</xdr:rowOff>
    </xdr:from>
    <xdr:ext cx="1057275" cy="31149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5659100" y="6124574"/>
          <a:ext cx="10572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i="0">
              <a:latin typeface="Cambria Math"/>
            </a:rPr>
            <a:t>∑24_(</a:t>
          </a:r>
          <a:r>
            <a:rPr lang="en-US" sz="1400" b="0" i="0">
              <a:latin typeface="Cambria Math"/>
            </a:rPr>
            <a:t>𝑖=1)^𝑛▒𝑟</a:t>
          </a:r>
          <a:r>
            <a:rPr lang="en-US" sz="1400" i="0">
              <a:latin typeface="Cambria Math"/>
            </a:rPr>
            <a:t>𝑖=</a:t>
          </a:r>
          <a:r>
            <a:rPr lang="en-US" sz="1400"/>
            <a:t>1</a:t>
          </a:r>
        </a:p>
      </xdr:txBody>
    </xdr:sp>
    <xdr:clientData/>
  </xdr:oneCellAnchor>
  <xdr:oneCellAnchor>
    <xdr:from>
      <xdr:col>23</xdr:col>
      <xdr:colOff>400051</xdr:colOff>
      <xdr:row>31</xdr:row>
      <xdr:rowOff>28575</xdr:rowOff>
    </xdr:from>
    <xdr:ext cx="409574" cy="5334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14506576" y="6029325"/>
          <a:ext cx="409574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 i="0">
              <a:latin typeface="Cambria Math"/>
            </a:rPr>
            <a:t>∑24_(</a:t>
          </a:r>
          <a:r>
            <a:rPr lang="en-US" sz="900" b="0" i="0">
              <a:latin typeface="Cambria Math"/>
            </a:rPr>
            <a:t>𝑖=1)^𝑛▒</a:t>
          </a:r>
          <a:r>
            <a:rPr lang="el-GR" sz="900" i="0">
              <a:latin typeface="Cambria Math"/>
            </a:rPr>
            <a:t>𝜙</a:t>
          </a:r>
          <a:r>
            <a:rPr lang="en-US" sz="900" i="0">
              <a:latin typeface="Cambria Math"/>
            </a:rPr>
            <a:t>𝑖</a:t>
          </a:r>
          <a:endParaRPr lang="en-US" sz="900"/>
        </a:p>
      </xdr:txBody>
    </xdr:sp>
    <xdr:clientData/>
  </xdr:oneCellAnchor>
  <xdr:oneCellAnchor>
    <xdr:from>
      <xdr:col>31</xdr:col>
      <xdr:colOff>200342</xdr:colOff>
      <xdr:row>8</xdr:row>
      <xdr:rowOff>132143</xdr:rowOff>
    </xdr:from>
    <xdr:ext cx="1085215" cy="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67532567" y="36470018"/>
          <a:ext cx="1085215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r>
            <a:rPr lang="en-US" sz="1100" i="0">
              <a:latin typeface="Cambria Math"/>
            </a:rPr>
            <a:t>(𝑥+𝑎)^𝑛=∑_(𝑘=0)^𝑛▒〖(𝑛¦𝑘) 𝑥^𝑘 𝑎^(𝑛−𝑘) 〗</a:t>
          </a:r>
          <a:endParaRPr lang="en-US" sz="1100"/>
        </a:p>
      </xdr:txBody>
    </xdr:sp>
    <xdr:clientData/>
  </xdr:oneCellAnchor>
  <xdr:oneCellAnchor>
    <xdr:from>
      <xdr:col>34</xdr:col>
      <xdr:colOff>19368</xdr:colOff>
      <xdr:row>5</xdr:row>
      <xdr:rowOff>28575</xdr:rowOff>
    </xdr:from>
    <xdr:ext cx="1190307" cy="59336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69180393" y="35794950"/>
          <a:ext cx="1190307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i="0">
              <a:latin typeface="Cambria Math"/>
            </a:rPr>
            <a:t>∑</a:t>
          </a:r>
          <a:r>
            <a:rPr lang="en-US" sz="1100" b="0" i="0">
              <a:latin typeface="Cambria Math"/>
            </a:rPr>
            <a:t>_(𝑗=1)^(𝑖−1)▒〖𝑟𝑗−∑_(𝑗=𝑖+1)^𝑛▒𝑟𝑗〗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0"/>
  <sheetViews>
    <sheetView zoomScale="75" zoomScaleNormal="70" workbookViewId="0">
      <selection activeCell="C7" sqref="C7:G19"/>
    </sheetView>
  </sheetViews>
  <sheetFormatPr defaultColWidth="8.54296875" defaultRowHeight="14.5"/>
  <cols>
    <col min="2" max="2" width="12.54296875" customWidth="1"/>
    <col min="3" max="6" width="15.54296875" customWidth="1"/>
    <col min="7" max="7" width="16.453125" customWidth="1"/>
    <col min="8" max="8" width="15.453125" customWidth="1"/>
    <col min="9" max="9" width="9.54296875" bestFit="1" customWidth="1"/>
    <col min="10" max="10" width="9.453125" bestFit="1" customWidth="1"/>
    <col min="11" max="11" width="6.54296875" bestFit="1" customWidth="1"/>
    <col min="14" max="14" width="10.54296875" customWidth="1"/>
  </cols>
  <sheetData>
    <row r="2" spans="1:14" ht="17.5">
      <c r="A2" s="372" t="s">
        <v>241</v>
      </c>
    </row>
    <row r="4" spans="1:14" ht="17.5">
      <c r="B4" s="372"/>
    </row>
    <row r="5" spans="1:14">
      <c r="B5" s="118"/>
      <c r="C5" s="481" t="s">
        <v>242</v>
      </c>
      <c r="D5" s="481"/>
      <c r="E5" s="481"/>
      <c r="F5" s="481"/>
      <c r="G5" s="481"/>
    </row>
    <row r="6" spans="1:14" ht="35">
      <c r="B6" s="423" t="s">
        <v>1</v>
      </c>
      <c r="C6" s="424" t="s">
        <v>2</v>
      </c>
      <c r="D6" s="424" t="s">
        <v>3</v>
      </c>
      <c r="E6" s="423" t="s">
        <v>4</v>
      </c>
      <c r="F6" s="423" t="s">
        <v>5</v>
      </c>
      <c r="G6" s="424" t="s">
        <v>6</v>
      </c>
    </row>
    <row r="7" spans="1:14" ht="18">
      <c r="B7" s="425" t="s">
        <v>7</v>
      </c>
      <c r="C7" s="432">
        <v>0</v>
      </c>
      <c r="D7" s="431">
        <v>1</v>
      </c>
      <c r="E7" s="431">
        <v>1</v>
      </c>
      <c r="F7" s="431">
        <v>1</v>
      </c>
      <c r="G7" s="434">
        <v>0</v>
      </c>
      <c r="H7" s="422"/>
      <c r="I7" s="422"/>
      <c r="J7" s="133"/>
      <c r="K7" s="50"/>
      <c r="L7" s="50"/>
      <c r="N7" s="411"/>
    </row>
    <row r="8" spans="1:14" ht="18">
      <c r="B8" s="426" t="s">
        <v>8</v>
      </c>
      <c r="C8" s="432">
        <v>0</v>
      </c>
      <c r="D8" s="431">
        <v>0.99</v>
      </c>
      <c r="E8" s="431">
        <v>1</v>
      </c>
      <c r="F8" s="431">
        <v>1</v>
      </c>
      <c r="G8" s="434">
        <v>0</v>
      </c>
      <c r="H8" s="422"/>
      <c r="I8" s="422"/>
      <c r="J8" s="133"/>
      <c r="K8" s="50"/>
      <c r="L8" s="50"/>
      <c r="N8" s="411"/>
    </row>
    <row r="9" spans="1:14" ht="18">
      <c r="B9" s="426" t="s">
        <v>9</v>
      </c>
      <c r="C9" s="432">
        <v>0</v>
      </c>
      <c r="D9" s="431">
        <v>0.85</v>
      </c>
      <c r="E9" s="431">
        <v>1</v>
      </c>
      <c r="F9" s="431">
        <v>1</v>
      </c>
      <c r="G9" s="434">
        <v>0</v>
      </c>
      <c r="H9" s="422"/>
      <c r="I9" s="422"/>
      <c r="J9" s="133"/>
      <c r="K9" s="50"/>
      <c r="L9" s="50"/>
      <c r="N9" s="411"/>
    </row>
    <row r="10" spans="1:14" ht="18">
      <c r="B10" s="426" t="s">
        <v>10</v>
      </c>
      <c r="C10" s="432">
        <v>0</v>
      </c>
      <c r="D10" s="431">
        <v>0.5</v>
      </c>
      <c r="E10" s="431">
        <v>1</v>
      </c>
      <c r="F10" s="431">
        <v>1</v>
      </c>
      <c r="G10" s="434">
        <v>0</v>
      </c>
      <c r="H10" s="422"/>
      <c r="I10" s="422"/>
      <c r="J10" s="133"/>
      <c r="K10" s="50"/>
      <c r="L10" s="50"/>
      <c r="N10" s="411"/>
    </row>
    <row r="11" spans="1:14" ht="18">
      <c r="B11" s="426" t="s">
        <v>0</v>
      </c>
      <c r="C11" s="432">
        <v>0</v>
      </c>
      <c r="D11" s="431">
        <v>0.31</v>
      </c>
      <c r="E11" s="431">
        <v>0.88</v>
      </c>
      <c r="F11" s="431">
        <v>1</v>
      </c>
      <c r="G11" s="434">
        <v>0</v>
      </c>
      <c r="H11" s="154"/>
      <c r="I11" s="422"/>
      <c r="J11" s="133"/>
      <c r="K11" s="50"/>
      <c r="L11" s="50"/>
      <c r="N11" s="411"/>
    </row>
    <row r="12" spans="1:14" ht="18">
      <c r="B12" s="426" t="s">
        <v>11</v>
      </c>
      <c r="C12" s="432">
        <v>0</v>
      </c>
      <c r="D12" s="431">
        <v>0.1</v>
      </c>
      <c r="E12" s="431">
        <v>0.22</v>
      </c>
      <c r="F12" s="431">
        <v>0.99</v>
      </c>
      <c r="G12" s="434">
        <v>0</v>
      </c>
      <c r="H12" s="154"/>
      <c r="I12" s="422"/>
      <c r="J12" s="133"/>
      <c r="K12" s="50"/>
      <c r="L12" s="50"/>
      <c r="N12" s="411"/>
    </row>
    <row r="13" spans="1:14" ht="18">
      <c r="B13" s="426" t="s">
        <v>12</v>
      </c>
      <c r="C13" s="432">
        <v>0</v>
      </c>
      <c r="D13" s="431">
        <v>0.05</v>
      </c>
      <c r="E13" s="431">
        <v>0.05</v>
      </c>
      <c r="F13" s="431">
        <v>0.84</v>
      </c>
      <c r="G13" s="434">
        <v>0</v>
      </c>
      <c r="H13" s="154"/>
      <c r="I13" s="422"/>
      <c r="J13" s="133"/>
      <c r="K13" s="50"/>
      <c r="L13" s="50"/>
      <c r="N13" s="411"/>
    </row>
    <row r="14" spans="1:14" ht="18">
      <c r="B14" s="426" t="s">
        <v>13</v>
      </c>
      <c r="C14" s="432">
        <v>0</v>
      </c>
      <c r="D14" s="431">
        <v>0</v>
      </c>
      <c r="E14" s="431">
        <v>0.04</v>
      </c>
      <c r="F14" s="431">
        <v>0.66</v>
      </c>
      <c r="G14" s="434">
        <v>0</v>
      </c>
      <c r="H14" s="154"/>
      <c r="I14" s="422"/>
      <c r="J14" s="133"/>
      <c r="K14" s="50"/>
      <c r="L14" s="50"/>
    </row>
    <row r="15" spans="1:14" ht="18">
      <c r="B15" s="426" t="s">
        <v>14</v>
      </c>
      <c r="C15" s="432">
        <v>0</v>
      </c>
      <c r="D15" s="431">
        <v>0</v>
      </c>
      <c r="E15" s="431">
        <v>0</v>
      </c>
      <c r="F15" s="431">
        <v>0.43</v>
      </c>
      <c r="G15" s="434">
        <v>0</v>
      </c>
      <c r="H15" s="154"/>
      <c r="I15" s="422"/>
      <c r="J15" s="133"/>
      <c r="K15" s="50"/>
      <c r="L15" s="50"/>
    </row>
    <row r="16" spans="1:14" ht="18">
      <c r="B16" s="426" t="s">
        <v>15</v>
      </c>
      <c r="C16" s="432">
        <v>0</v>
      </c>
      <c r="D16" s="431">
        <v>0</v>
      </c>
      <c r="E16" s="431">
        <v>0</v>
      </c>
      <c r="F16" s="431">
        <v>0.15</v>
      </c>
      <c r="G16" s="434">
        <v>0</v>
      </c>
      <c r="H16" s="154"/>
      <c r="I16" s="422"/>
      <c r="J16" s="133"/>
      <c r="K16" s="50"/>
      <c r="L16" s="50"/>
    </row>
    <row r="17" spans="2:12" ht="18">
      <c r="B17" s="426" t="s">
        <v>16</v>
      </c>
      <c r="C17" s="432">
        <v>0</v>
      </c>
      <c r="D17" s="431">
        <v>0</v>
      </c>
      <c r="E17" s="431">
        <v>0</v>
      </c>
      <c r="F17" s="431">
        <v>0.03</v>
      </c>
      <c r="G17" s="434">
        <v>0</v>
      </c>
      <c r="H17" s="154"/>
      <c r="I17" s="422"/>
      <c r="J17" s="133"/>
      <c r="K17" s="50"/>
      <c r="L17" s="50"/>
    </row>
    <row r="18" spans="2:12" ht="18">
      <c r="B18" s="427" t="s">
        <v>17</v>
      </c>
      <c r="C18" s="432">
        <v>0</v>
      </c>
      <c r="D18" s="431">
        <v>0</v>
      </c>
      <c r="E18" s="431">
        <v>0</v>
      </c>
      <c r="F18" s="431">
        <v>1.3000000000000001E-2</v>
      </c>
      <c r="G18" s="434">
        <v>0</v>
      </c>
      <c r="H18" s="154"/>
      <c r="I18" s="422"/>
      <c r="J18" s="133"/>
      <c r="K18" s="50"/>
      <c r="L18" s="50"/>
    </row>
    <row r="19" spans="2:12" ht="18">
      <c r="B19" s="426" t="s">
        <v>18</v>
      </c>
      <c r="C19" s="432">
        <v>0</v>
      </c>
      <c r="D19" s="431">
        <v>0</v>
      </c>
      <c r="E19" s="431">
        <v>0</v>
      </c>
      <c r="F19" s="431">
        <v>0</v>
      </c>
      <c r="G19" s="434">
        <v>0</v>
      </c>
      <c r="H19" s="154"/>
      <c r="I19" s="422"/>
      <c r="J19" s="133"/>
      <c r="K19" s="50"/>
      <c r="L19" s="50"/>
    </row>
    <row r="20" spans="2:12">
      <c r="D20" s="115"/>
      <c r="H20" s="122"/>
    </row>
  </sheetData>
  <sheetProtection selectLockedCells="1"/>
  <mergeCells count="1">
    <mergeCell ref="C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59"/>
  <sheetViews>
    <sheetView tabSelected="1" topLeftCell="A24" zoomScaleNormal="100" workbookViewId="0">
      <selection activeCell="C39" sqref="C39"/>
    </sheetView>
  </sheetViews>
  <sheetFormatPr defaultColWidth="8.54296875" defaultRowHeight="14.5"/>
  <cols>
    <col min="1" max="1" width="5.453125" customWidth="1"/>
    <col min="2" max="2" width="24.54296875" customWidth="1"/>
    <col min="3" max="3" width="13.453125" customWidth="1"/>
    <col min="4" max="4" width="15.453125" customWidth="1"/>
    <col min="5" max="5" width="22.54296875" bestFit="1" customWidth="1"/>
    <col min="6" max="6" width="13.453125" bestFit="1" customWidth="1"/>
    <col min="7" max="7" width="13.54296875" customWidth="1"/>
    <col min="8" max="8" width="26.26953125" customWidth="1"/>
    <col min="9" max="9" width="21.453125" customWidth="1"/>
    <col min="10" max="10" width="9.453125" bestFit="1" customWidth="1"/>
    <col min="11" max="12" width="12.54296875" customWidth="1"/>
    <col min="13" max="13" width="15.26953125" customWidth="1"/>
    <col min="14" max="14" width="15.54296875" customWidth="1"/>
    <col min="15" max="15" width="12.54296875" customWidth="1"/>
    <col min="16" max="16" width="21.54296875" bestFit="1" customWidth="1"/>
  </cols>
  <sheetData>
    <row r="1" spans="2:9" ht="17.5">
      <c r="B1" s="372" t="s">
        <v>240</v>
      </c>
    </row>
    <row r="4" spans="2:9" ht="18">
      <c r="B4" s="372" t="s">
        <v>19</v>
      </c>
      <c r="C4" s="373"/>
      <c r="D4" s="373"/>
      <c r="E4" s="373"/>
      <c r="F4" s="373"/>
      <c r="G4" s="373"/>
      <c r="H4" s="373"/>
    </row>
    <row r="5" spans="2:9" ht="18.5" thickBot="1">
      <c r="B5" s="373"/>
      <c r="C5" s="373"/>
      <c r="D5" s="373"/>
      <c r="E5" s="373"/>
      <c r="F5" s="373"/>
      <c r="G5" s="373"/>
      <c r="H5" s="373"/>
    </row>
    <row r="6" spans="2:9" ht="35">
      <c r="B6" s="374" t="s">
        <v>20</v>
      </c>
      <c r="C6" s="494" t="s">
        <v>21</v>
      </c>
      <c r="D6" s="495"/>
      <c r="E6" s="375" t="s">
        <v>22</v>
      </c>
      <c r="F6" s="450" t="s">
        <v>23</v>
      </c>
      <c r="G6" s="424" t="s">
        <v>24</v>
      </c>
    </row>
    <row r="7" spans="2:9" ht="18">
      <c r="B7" s="376" t="s">
        <v>2</v>
      </c>
      <c r="C7" s="496" t="s">
        <v>11</v>
      </c>
      <c r="D7" s="497"/>
      <c r="E7" s="399">
        <v>0</v>
      </c>
      <c r="F7" s="452">
        <v>2.75</v>
      </c>
      <c r="G7" s="457">
        <f>IF(E7=0, 0, E7/F7/62.4)</f>
        <v>0</v>
      </c>
      <c r="H7" s="368"/>
    </row>
    <row r="8" spans="2:9" ht="18">
      <c r="B8" s="376" t="s">
        <v>3</v>
      </c>
      <c r="C8" s="492" t="s">
        <v>237</v>
      </c>
      <c r="D8" s="493"/>
      <c r="E8" s="415">
        <v>1520</v>
      </c>
      <c r="F8" s="453">
        <v>2.7450000000000001</v>
      </c>
      <c r="G8" s="457">
        <f>IF(E8=0, 0, E8/F8/62.4)</f>
        <v>8.8739433001728081</v>
      </c>
      <c r="H8" s="413"/>
      <c r="I8" s="373"/>
    </row>
    <row r="9" spans="2:9" ht="18">
      <c r="B9" s="376" t="s">
        <v>4</v>
      </c>
      <c r="C9" s="498" t="s">
        <v>238</v>
      </c>
      <c r="D9" s="493"/>
      <c r="E9" s="415">
        <v>310</v>
      </c>
      <c r="F9" s="454">
        <v>2.72</v>
      </c>
      <c r="G9" s="457">
        <f t="shared" ref="G9:G14" si="0">IF(E9=0, 0, E9/F9/62.4)</f>
        <v>1.8264517345399698</v>
      </c>
      <c r="H9" s="413"/>
      <c r="I9" s="410"/>
    </row>
    <row r="10" spans="2:9" ht="18">
      <c r="B10" s="376" t="s">
        <v>5</v>
      </c>
      <c r="C10" s="492" t="s">
        <v>26</v>
      </c>
      <c r="D10" s="493"/>
      <c r="E10" s="415">
        <v>1520</v>
      </c>
      <c r="F10" s="454">
        <v>2.61</v>
      </c>
      <c r="G10" s="457">
        <f>IF(E10=0, 0, E10/F10/62.4)</f>
        <v>9.3329403674231255</v>
      </c>
      <c r="H10" s="413"/>
      <c r="I10" s="383"/>
    </row>
    <row r="11" spans="2:9" ht="18">
      <c r="B11" s="376" t="s">
        <v>6</v>
      </c>
      <c r="C11" s="492" t="s">
        <v>27</v>
      </c>
      <c r="D11" s="493"/>
      <c r="E11" s="412">
        <f>J21</f>
        <v>0</v>
      </c>
      <c r="F11" s="454">
        <v>2.7629999999999999</v>
      </c>
      <c r="G11" s="457">
        <f>IF(E11=0, 0, E11/F11/62.4)</f>
        <v>0</v>
      </c>
      <c r="H11" s="451"/>
      <c r="I11" s="383"/>
    </row>
    <row r="12" spans="2:9" ht="18.5">
      <c r="B12" s="376" t="s">
        <v>28</v>
      </c>
      <c r="C12" s="492" t="s">
        <v>29</v>
      </c>
      <c r="D12" s="493"/>
      <c r="E12" s="400">
        <f>K27</f>
        <v>413.6</v>
      </c>
      <c r="F12" s="455">
        <v>3.15</v>
      </c>
      <c r="G12" s="457">
        <f t="shared" si="0"/>
        <v>2.1041921041921046</v>
      </c>
      <c r="H12" s="381"/>
      <c r="I12" s="386"/>
    </row>
    <row r="13" spans="2:9" ht="18">
      <c r="B13" s="376" t="s">
        <v>30</v>
      </c>
      <c r="C13" s="492" t="s">
        <v>239</v>
      </c>
      <c r="D13" s="493"/>
      <c r="E13" s="400">
        <f>J27</f>
        <v>103.4</v>
      </c>
      <c r="F13" s="454">
        <v>2.5</v>
      </c>
      <c r="G13" s="457">
        <f t="shared" si="0"/>
        <v>0.6628205128205128</v>
      </c>
      <c r="H13" s="368"/>
      <c r="I13" s="368"/>
    </row>
    <row r="14" spans="2:9" ht="18">
      <c r="B14" s="376" t="s">
        <v>31</v>
      </c>
      <c r="C14" s="492"/>
      <c r="D14" s="493"/>
      <c r="E14" s="400"/>
      <c r="F14" s="455"/>
      <c r="G14" s="457">
        <f t="shared" si="0"/>
        <v>0</v>
      </c>
    </row>
    <row r="15" spans="2:9" ht="18">
      <c r="B15" s="376" t="s">
        <v>32</v>
      </c>
      <c r="C15" s="492"/>
      <c r="D15" s="493"/>
      <c r="E15" s="401">
        <f>L27</f>
        <v>232.65</v>
      </c>
      <c r="F15" s="455">
        <v>1</v>
      </c>
      <c r="G15" s="457">
        <f>E15/F15/62.4</f>
        <v>3.7283653846153846</v>
      </c>
    </row>
    <row r="16" spans="2:9" ht="18.5" thickBot="1">
      <c r="B16" s="377" t="s">
        <v>33</v>
      </c>
      <c r="C16" s="499">
        <v>0.02</v>
      </c>
      <c r="D16" s="500"/>
      <c r="E16" s="403"/>
      <c r="F16" s="456"/>
      <c r="G16" s="457">
        <f>27*C16</f>
        <v>0.54</v>
      </c>
    </row>
    <row r="17" spans="2:17" ht="18">
      <c r="B17" s="378" t="s">
        <v>34</v>
      </c>
      <c r="C17" s="381"/>
      <c r="D17" s="381"/>
      <c r="E17" s="404">
        <f>SUM(E7:E15)</f>
        <v>4099.6499999999996</v>
      </c>
      <c r="F17" s="396" t="s">
        <v>35</v>
      </c>
      <c r="G17" s="405">
        <f>SUM(G7:G16)</f>
        <v>27.068713403763905</v>
      </c>
      <c r="H17" s="373" t="s">
        <v>36</v>
      </c>
      <c r="I17" s="373"/>
    </row>
    <row r="18" spans="2:17" ht="18">
      <c r="B18" s="372"/>
      <c r="C18" s="373"/>
      <c r="D18" s="373"/>
      <c r="E18" s="405">
        <f>E17/(G17)</f>
        <v>151.45344881555926</v>
      </c>
      <c r="F18" s="396" t="s">
        <v>37</v>
      </c>
      <c r="G18" s="373"/>
      <c r="I18" s="373"/>
    </row>
    <row r="19" spans="2:17" ht="18">
      <c r="B19" s="372" t="s">
        <v>38</v>
      </c>
      <c r="C19" s="373"/>
      <c r="D19" s="373"/>
      <c r="E19" s="406"/>
      <c r="F19" s="381"/>
      <c r="G19" s="373"/>
      <c r="I19" s="413"/>
    </row>
    <row r="20" spans="2:17" ht="18.5" thickBot="1">
      <c r="B20" s="372"/>
      <c r="C20" s="373"/>
      <c r="D20" s="373"/>
      <c r="E20" s="417" t="s">
        <v>250</v>
      </c>
      <c r="F20" s="418"/>
      <c r="G20" s="418"/>
      <c r="H20" s="422"/>
      <c r="I20" s="373"/>
      <c r="J20" s="373"/>
      <c r="K20" s="373"/>
      <c r="L20" s="373"/>
    </row>
    <row r="21" spans="2:17" ht="18">
      <c r="B21" s="390" t="s">
        <v>39</v>
      </c>
      <c r="C21" s="391" t="s">
        <v>40</v>
      </c>
      <c r="D21" s="373"/>
      <c r="E21" s="444" t="s">
        <v>41</v>
      </c>
      <c r="F21" s="445" t="s">
        <v>40</v>
      </c>
      <c r="G21" s="373"/>
      <c r="H21" s="458"/>
      <c r="I21" s="463" t="s">
        <v>244</v>
      </c>
      <c r="J21" s="464"/>
      <c r="K21" s="373"/>
      <c r="L21" s="373"/>
    </row>
    <row r="22" spans="2:17" ht="18.5">
      <c r="B22" s="387" t="s">
        <v>42</v>
      </c>
      <c r="C22" s="449">
        <f>E15/(E12+E13)</f>
        <v>0.45</v>
      </c>
      <c r="D22" s="386"/>
      <c r="E22" s="446" t="s">
        <v>43</v>
      </c>
      <c r="F22" s="448">
        <f>D55</f>
        <v>0.30506505104750409</v>
      </c>
      <c r="G22" s="373"/>
      <c r="I22" s="459" t="s">
        <v>245</v>
      </c>
      <c r="J22" s="461">
        <v>5.5</v>
      </c>
      <c r="K22" s="373"/>
      <c r="L22" s="373"/>
    </row>
    <row r="23" spans="2:17" ht="19" thickBot="1">
      <c r="B23" s="388" t="s">
        <v>44</v>
      </c>
      <c r="C23" s="416">
        <f>(E13+E14)/(E12+E13+E14)</f>
        <v>0.2</v>
      </c>
      <c r="D23" s="386"/>
      <c r="E23" s="446" t="s">
        <v>45</v>
      </c>
      <c r="F23" s="447">
        <f>D53</f>
        <v>0.32524091403562994</v>
      </c>
      <c r="G23" s="419"/>
      <c r="I23" s="459" t="s">
        <v>246</v>
      </c>
      <c r="J23" s="461">
        <v>0.2</v>
      </c>
      <c r="K23" s="373"/>
      <c r="L23" s="373"/>
    </row>
    <row r="24" spans="2:17" ht="19" thickBot="1">
      <c r="B24" s="387" t="s">
        <v>46</v>
      </c>
      <c r="C24" s="402">
        <f>SUM(E12:E13)</f>
        <v>517</v>
      </c>
      <c r="D24" s="386" t="s">
        <v>47</v>
      </c>
      <c r="E24" s="406"/>
      <c r="F24" s="381"/>
      <c r="G24" s="373"/>
      <c r="H24" s="429"/>
      <c r="I24" s="460" t="s">
        <v>249</v>
      </c>
      <c r="J24" s="462">
        <v>0.45</v>
      </c>
      <c r="K24" s="429"/>
      <c r="M24" s="474" t="s">
        <v>243</v>
      </c>
      <c r="N24" s="475" t="s">
        <v>235</v>
      </c>
      <c r="O24" s="476" t="s">
        <v>236</v>
      </c>
    </row>
    <row r="25" spans="2:17" ht="19" thickBot="1">
      <c r="B25" s="387" t="s">
        <v>48</v>
      </c>
      <c r="C25" s="420">
        <f>C24/94</f>
        <v>5.5</v>
      </c>
      <c r="D25" s="386" t="s">
        <v>49</v>
      </c>
      <c r="E25" s="406"/>
      <c r="F25" s="381"/>
      <c r="G25" s="373"/>
      <c r="H25" s="429"/>
      <c r="I25" s="429"/>
      <c r="J25" s="429"/>
      <c r="K25" s="429"/>
      <c r="L25" s="413"/>
      <c r="M25" s="477">
        <f>D41</f>
        <v>6.2014239620414635E-2</v>
      </c>
      <c r="N25" s="478">
        <f>D42</f>
        <v>0.15503559905103681</v>
      </c>
      <c r="O25" s="479">
        <f>D44</f>
        <v>0.15785267795045965</v>
      </c>
      <c r="P25" s="115"/>
      <c r="Q25" s="414"/>
    </row>
    <row r="26" spans="2:17" ht="19" thickBot="1">
      <c r="B26" s="389" t="s">
        <v>50</v>
      </c>
      <c r="C26" s="435">
        <f>SUM(G12:G15)/27*100</f>
        <v>24.056955561585191</v>
      </c>
      <c r="D26" s="386" t="s">
        <v>51</v>
      </c>
      <c r="E26" s="406"/>
      <c r="F26" s="381"/>
      <c r="G26" s="373"/>
      <c r="H26" s="429"/>
      <c r="I26" s="468" t="s">
        <v>247</v>
      </c>
      <c r="J26" s="469" t="s">
        <v>248</v>
      </c>
      <c r="K26" s="469" t="s">
        <v>28</v>
      </c>
      <c r="L26" s="470" t="s">
        <v>32</v>
      </c>
      <c r="M26" s="413"/>
      <c r="N26" s="413"/>
      <c r="Q26" s="414"/>
    </row>
    <row r="27" spans="2:17" ht="18.5" thickBot="1">
      <c r="I27" s="471">
        <f>J22*94</f>
        <v>517</v>
      </c>
      <c r="J27" s="472">
        <f>I27*J23</f>
        <v>103.4</v>
      </c>
      <c r="K27" s="472">
        <f>I27-J27</f>
        <v>413.6</v>
      </c>
      <c r="L27" s="473">
        <f>I27*J24</f>
        <v>232.65</v>
      </c>
      <c r="M27" s="413"/>
      <c r="N27" s="413"/>
      <c r="Q27" s="414"/>
    </row>
    <row r="28" spans="2:17" ht="18">
      <c r="B28" s="372" t="s">
        <v>52</v>
      </c>
      <c r="C28" s="373"/>
      <c r="D28" s="373"/>
      <c r="I28" s="373"/>
      <c r="J28" s="373"/>
      <c r="L28" s="413"/>
      <c r="M28" s="413"/>
      <c r="N28" s="413"/>
      <c r="Q28" s="414"/>
    </row>
    <row r="29" spans="2:17" ht="18.5" thickBot="1">
      <c r="I29" s="373"/>
      <c r="J29" s="373"/>
      <c r="K29" s="373"/>
      <c r="L29" s="413"/>
      <c r="M29" s="413"/>
      <c r="N29" s="413"/>
      <c r="O29" s="368"/>
    </row>
    <row r="30" spans="2:17" ht="18">
      <c r="B30" s="390" t="s">
        <v>53</v>
      </c>
      <c r="C30" s="485" t="s">
        <v>54</v>
      </c>
      <c r="D30" s="485"/>
      <c r="E30" s="485" t="s">
        <v>55</v>
      </c>
      <c r="F30" s="486"/>
      <c r="I30" s="373"/>
      <c r="J30" s="373"/>
      <c r="K30" s="373"/>
      <c r="L30" s="413"/>
      <c r="M30" s="413"/>
      <c r="N30" s="373"/>
      <c r="O30" s="368"/>
    </row>
    <row r="31" spans="2:17" ht="18">
      <c r="B31" s="376" t="s">
        <v>56</v>
      </c>
      <c r="C31" s="487"/>
      <c r="D31" s="487"/>
      <c r="E31" s="487"/>
      <c r="F31" s="488"/>
      <c r="I31" s="373"/>
      <c r="J31" s="373"/>
      <c r="K31" s="373"/>
      <c r="L31" s="413"/>
      <c r="M31" s="373"/>
      <c r="N31" s="413"/>
    </row>
    <row r="32" spans="2:17" ht="18">
      <c r="B32" s="376" t="s">
        <v>57</v>
      </c>
      <c r="C32" s="487"/>
      <c r="D32" s="487"/>
      <c r="E32" s="487"/>
      <c r="F32" s="488"/>
      <c r="I32" s="373"/>
      <c r="J32" s="373"/>
      <c r="K32" s="373"/>
      <c r="L32" s="373"/>
    </row>
    <row r="33" spans="2:16" ht="18.75" customHeight="1">
      <c r="B33" s="376" t="s">
        <v>58</v>
      </c>
      <c r="C33" s="487"/>
      <c r="D33" s="487"/>
      <c r="E33" s="487"/>
      <c r="F33" s="488"/>
      <c r="I33" s="373"/>
      <c r="J33" s="373"/>
      <c r="K33" s="373"/>
      <c r="L33" s="373"/>
    </row>
    <row r="34" spans="2:16" ht="20.149999999999999" customHeight="1" thickBot="1">
      <c r="B34" s="377" t="s">
        <v>59</v>
      </c>
      <c r="C34" s="489"/>
      <c r="D34" s="489"/>
      <c r="E34" s="489"/>
      <c r="F34" s="490"/>
      <c r="I34" s="373"/>
      <c r="J34" s="373"/>
      <c r="K34" s="373"/>
      <c r="L34" s="373"/>
    </row>
    <row r="35" spans="2:16" ht="20.149999999999999" customHeight="1">
      <c r="I35" s="373"/>
      <c r="J35" s="373"/>
      <c r="K35" s="373"/>
      <c r="L35" s="373"/>
    </row>
    <row r="36" spans="2:16" ht="18">
      <c r="B36" s="372" t="s">
        <v>60</v>
      </c>
      <c r="C36" s="373"/>
      <c r="D36" s="373"/>
      <c r="E36" s="385"/>
      <c r="F36" s="373"/>
      <c r="G36" s="373"/>
      <c r="H36" s="373"/>
      <c r="I36" s="373"/>
      <c r="J36" s="373"/>
      <c r="K36" s="373"/>
      <c r="L36" s="373"/>
      <c r="M36" s="436"/>
    </row>
    <row r="37" spans="2:16" ht="18.5" thickBot="1">
      <c r="B37" s="373"/>
      <c r="C37" s="373"/>
      <c r="D37" s="373"/>
      <c r="E37" s="373"/>
      <c r="F37" s="373"/>
      <c r="G37" s="373"/>
      <c r="H37" s="430"/>
      <c r="I37" s="398"/>
      <c r="J37" s="430"/>
      <c r="K37" s="373"/>
      <c r="L37" s="373"/>
    </row>
    <row r="38" spans="2:16" ht="35">
      <c r="B38" s="392" t="s">
        <v>1</v>
      </c>
      <c r="C38" s="393" t="s">
        <v>61</v>
      </c>
      <c r="D38" s="393" t="s">
        <v>62</v>
      </c>
      <c r="E38" s="393" t="s">
        <v>63</v>
      </c>
      <c r="F38" s="394" t="s">
        <v>64</v>
      </c>
      <c r="H38" s="421"/>
      <c r="I38" s="421"/>
    </row>
    <row r="39" spans="2:16" ht="18">
      <c r="B39" s="379" t="s">
        <v>7</v>
      </c>
      <c r="C39" s="407">
        <f>('Sieve AnalysisRTT'!C7*$G$7/(SUM($G$7:$G$11)))+('Sieve AnalysisRTT'!D7*$G$8/(SUM($G$7:$G$11)))+('Sieve AnalysisRTT'!E7*$G$9/(SUM($G$7:$G$11)))+('Sieve AnalysisRTT'!F7*$G$10/(SUM($G$7:$G$11)))+('Sieve AnalysisRTT'!G7*'Mix Design'!$G$11/(SUM('Mix Design'!$G$7:$G$11)))</f>
        <v>1</v>
      </c>
      <c r="D39" s="407">
        <f>IF($C$39=0, 0,1-C39)</f>
        <v>0</v>
      </c>
      <c r="E39" s="407">
        <v>0</v>
      </c>
      <c r="F39" s="408">
        <v>0</v>
      </c>
      <c r="G39" s="433" t="str">
        <f>IF(AND(F39&lt;=D39,D39&lt;=E39),"YES","NO")</f>
        <v>YES</v>
      </c>
      <c r="H39" s="398"/>
      <c r="I39" s="398"/>
      <c r="J39" s="398"/>
    </row>
    <row r="40" spans="2:16" ht="18">
      <c r="B40" s="380" t="s">
        <v>8</v>
      </c>
      <c r="C40" s="407">
        <f>('Sieve AnalysisRTT'!C8*$G$7/(SUM($G$7:$G$11)))+('Sieve AnalysisRTT'!D8*$G$8/(SUM($G$7:$G$11)))+('Sieve AnalysisRTT'!E8*$G$9/(SUM($G$7:$G$11)))+('Sieve AnalysisRTT'!F8*$G$10/(SUM($G$7:$G$11)))+('Sieve AnalysisRTT'!G8*'Mix Design'!$G$11/(SUM('Mix Design'!$G$7:$G$11)))</f>
        <v>0.99557041145568448</v>
      </c>
      <c r="D40" s="407">
        <f>IF($C$39=0, 0, C39-C40)</f>
        <v>4.4295885443155214E-3</v>
      </c>
      <c r="E40" s="407">
        <v>0.16</v>
      </c>
      <c r="F40" s="408">
        <v>0</v>
      </c>
      <c r="G40" s="433" t="str">
        <f t="shared" ref="G40:G50" si="1">IF(AND(F40&lt;=D40,D40&lt;=E40),"YES","NO")</f>
        <v>YES</v>
      </c>
      <c r="H40" s="398"/>
      <c r="I40" s="398"/>
      <c r="J40" s="398"/>
    </row>
    <row r="41" spans="2:16" ht="18">
      <c r="B41" s="380" t="s">
        <v>9</v>
      </c>
      <c r="C41" s="407">
        <f>('Sieve AnalysisRTT'!C9*$G$7/(SUM($G$7:$G$11)))+('Sieve AnalysisRTT'!D9*$G$8/(SUM($G$7:$G$11)))+('Sieve AnalysisRTT'!E9*$G$9/(SUM($G$7:$G$11)))+('Sieve AnalysisRTT'!F9*$G$10/(SUM($G$7:$G$11)))+('Sieve AnalysisRTT'!G9*'Mix Design'!$G$11/(SUM('Mix Design'!$G$7:$G$11)))</f>
        <v>0.93355617183526984</v>
      </c>
      <c r="D41" s="407">
        <f t="shared" ref="D41:D50" si="2">IF($C$39=0, 0, C40-C41)</f>
        <v>6.2014239620414635E-2</v>
      </c>
      <c r="E41" s="407">
        <v>0.2</v>
      </c>
      <c r="F41" s="408">
        <v>0</v>
      </c>
      <c r="G41" s="433" t="str">
        <f t="shared" si="1"/>
        <v>YES</v>
      </c>
      <c r="H41" s="398"/>
      <c r="I41" s="398"/>
      <c r="J41" s="398"/>
      <c r="M41" s="49"/>
    </row>
    <row r="42" spans="2:16" s="442" customFormat="1" ht="20.25" customHeight="1">
      <c r="B42" s="438" t="s">
        <v>10</v>
      </c>
      <c r="C42" s="439">
        <f>('Sieve AnalysisRTT'!C10*$G$7/(SUM($G$7:$G$11)))+('Sieve AnalysisRTT'!D10*$G$8/(SUM($G$7:$G$11)))+('Sieve AnalysisRTT'!E10*$G$9/(SUM($G$7:$G$11)))+('Sieve AnalysisRTT'!F10*$G$10/(SUM($G$7:$G$11)))+('Sieve AnalysisRTT'!G10*'Mix Design'!$G$11/(SUM('Mix Design'!$G$7:$G$11)))</f>
        <v>0.77852057278423303</v>
      </c>
      <c r="D42" s="439">
        <f t="shared" si="2"/>
        <v>0.15503559905103681</v>
      </c>
      <c r="E42" s="439">
        <v>0.2</v>
      </c>
      <c r="F42" s="440">
        <v>0.04</v>
      </c>
      <c r="G42" s="441" t="str">
        <f t="shared" si="1"/>
        <v>YES</v>
      </c>
      <c r="H42" s="467"/>
      <c r="I42" s="467"/>
      <c r="J42" s="467"/>
      <c r="K42" s="217"/>
    </row>
    <row r="43" spans="2:16" ht="18">
      <c r="B43" s="380" t="s">
        <v>0</v>
      </c>
      <c r="C43" s="407">
        <f>('Sieve AnalysisRTT'!C11*$G$7/(SUM($G$7:$G$11)))+('Sieve AnalysisRTT'!D11*$G$8/(SUM($G$7:$G$11)))+('Sieve AnalysisRTT'!E11*$G$9/(SUM($G$7:$G$11)))+('Sieve AnalysisRTT'!F11*$G$10/(SUM($G$7:$G$11)))+('Sieve AnalysisRTT'!G11*'Mix Design'!$G$11/(SUM('Mix Design'!$G$7:$G$11)))</f>
        <v>0.68341791529193663</v>
      </c>
      <c r="D43" s="407">
        <f t="shared" si="2"/>
        <v>9.5102657492296405E-2</v>
      </c>
      <c r="E43" s="407">
        <v>0.2</v>
      </c>
      <c r="F43" s="408">
        <v>0.04</v>
      </c>
      <c r="G43" s="433" t="str">
        <f t="shared" si="1"/>
        <v>YES</v>
      </c>
      <c r="H43" s="398"/>
      <c r="I43" s="398"/>
      <c r="J43" s="398"/>
    </row>
    <row r="44" spans="2:16" s="442" customFormat="1" ht="18">
      <c r="B44" s="438" t="s">
        <v>11</v>
      </c>
      <c r="C44" s="439">
        <f>('Sieve AnalysisRTT'!C12*$G$7/(SUM($G$7:$G$11)))+('Sieve AnalysisRTT'!D12*$G$8/(SUM($G$7:$G$11)))+('Sieve AnalysisRTT'!E12*$G$9/(SUM($G$7:$G$11)))+('Sieve AnalysisRTT'!F12*$G$10/(SUM($G$7:$G$11)))+('Sieve AnalysisRTT'!G12*'Mix Design'!$G$11/(SUM('Mix Design'!$G$7:$G$11)))</f>
        <v>0.52556523734147698</v>
      </c>
      <c r="D44" s="439">
        <f t="shared" si="2"/>
        <v>0.15785267795045965</v>
      </c>
      <c r="E44" s="439">
        <v>0.2</v>
      </c>
      <c r="F44" s="440">
        <v>0.04</v>
      </c>
      <c r="G44" s="441" t="str">
        <f t="shared" si="1"/>
        <v>YES</v>
      </c>
      <c r="H44" s="467"/>
      <c r="I44" s="467"/>
      <c r="J44" s="467"/>
    </row>
    <row r="45" spans="2:16" ht="18">
      <c r="B45" s="380" t="s">
        <v>12</v>
      </c>
      <c r="C45" s="407">
        <f>('Sieve AnalysisRTT'!C13*$G$7/(SUM($G$7:$G$11)))+('Sieve AnalysisRTT'!D13*$G$8/(SUM($G$7:$G$11)))+('Sieve AnalysisRTT'!E13*$G$9/(SUM($G$7:$G$11)))+('Sieve AnalysisRTT'!F13*$G$10/(SUM($G$7:$G$11)))+('Sieve AnalysisRTT'!G13*'Mix Design'!$G$11/(SUM('Mix Design'!$G$7:$G$11)))</f>
        <v>0.41803771025957942</v>
      </c>
      <c r="D45" s="407">
        <f t="shared" si="2"/>
        <v>0.10752752708189756</v>
      </c>
      <c r="E45" s="407">
        <v>0.12</v>
      </c>
      <c r="F45" s="408">
        <v>0</v>
      </c>
      <c r="G45" s="433" t="str">
        <f t="shared" si="1"/>
        <v>YES</v>
      </c>
      <c r="H45" s="398"/>
      <c r="I45" s="398"/>
      <c r="J45" s="398"/>
    </row>
    <row r="46" spans="2:16" ht="18">
      <c r="B46" s="380" t="s">
        <v>13</v>
      </c>
      <c r="C46" s="407">
        <f>('Sieve AnalysisRTT'!C14*$G$7/(SUM($G$7:$G$11)))+('Sieve AnalysisRTT'!D14*$G$8/(SUM($G$7:$G$11)))+('Sieve AnalysisRTT'!E14*$G$9/(SUM($G$7:$G$11)))+('Sieve AnalysisRTT'!F14*$G$10/(SUM($G$7:$G$11)))+('Sieve AnalysisRTT'!G14*'Mix Design'!$G$11/(SUM('Mix Design'!$G$7:$G$11)))</f>
        <v>0.3111213677986111</v>
      </c>
      <c r="D46" s="407">
        <f t="shared" si="2"/>
        <v>0.10691634246096832</v>
      </c>
      <c r="E46" s="407">
        <v>0.12</v>
      </c>
      <c r="F46" s="408">
        <v>0</v>
      </c>
      <c r="G46" s="433" t="str">
        <f>IF(AND(F46&lt;=D46,D46&lt;=E46),"YES","NO")</f>
        <v>YES</v>
      </c>
      <c r="H46" s="398"/>
      <c r="I46" s="398"/>
      <c r="J46" s="398"/>
    </row>
    <row r="47" spans="2:16" ht="18">
      <c r="B47" s="380" t="s">
        <v>14</v>
      </c>
      <c r="C47" s="407">
        <f>('Sieve AnalysisRTT'!C15*$G$7/(SUM($G$7:$G$11)))+('Sieve AnalysisRTT'!D15*$G$8/(SUM($G$7:$G$11)))+('Sieve AnalysisRTT'!E15*$G$9/(SUM($G$7:$G$11)))+('Sieve AnalysisRTT'!F15*$G$10/(SUM($G$7:$G$11)))+('Sieve AnalysisRTT'!G15*'Mix Design'!$G$11/(SUM('Mix Design'!$G$7:$G$11)))</f>
        <v>0.20032432330584704</v>
      </c>
      <c r="D47" s="407">
        <f t="shared" si="2"/>
        <v>0.11079704449276406</v>
      </c>
      <c r="E47" s="407">
        <v>0.2</v>
      </c>
      <c r="F47" s="408">
        <v>0.04</v>
      </c>
      <c r="G47" s="433" t="str">
        <f t="shared" si="1"/>
        <v>YES</v>
      </c>
      <c r="H47" s="398"/>
      <c r="I47" s="398"/>
      <c r="J47" s="398"/>
    </row>
    <row r="48" spans="2:16" ht="18">
      <c r="B48" s="380" t="s">
        <v>15</v>
      </c>
      <c r="C48" s="407">
        <f>('Sieve AnalysisRTT'!C16*$G$7/(SUM($G$7:$G$11)))+('Sieve AnalysisRTT'!D16*$G$8/(SUM($G$7:$G$11)))+('Sieve AnalysisRTT'!E16*$G$9/(SUM($G$7:$G$11)))+('Sieve AnalysisRTT'!F16*$G$10/(SUM($G$7:$G$11)))+('Sieve AnalysisRTT'!G16*'Mix Design'!$G$11/(SUM('Mix Design'!$G$7:$G$11)))</f>
        <v>6.9880577897388496E-2</v>
      </c>
      <c r="D48" s="407">
        <f t="shared" si="2"/>
        <v>0.13044374540845854</v>
      </c>
      <c r="E48" s="407">
        <v>0.2</v>
      </c>
      <c r="F48" s="408">
        <v>0.04</v>
      </c>
      <c r="G48" s="433" t="str">
        <f t="shared" si="1"/>
        <v>YES</v>
      </c>
      <c r="H48" s="398"/>
      <c r="I48" s="398"/>
      <c r="O48" s="127"/>
      <c r="P48" s="127"/>
    </row>
    <row r="49" spans="2:16" ht="18">
      <c r="B49" s="380" t="s">
        <v>16</v>
      </c>
      <c r="C49" s="407">
        <f>('Sieve AnalysisRTT'!C17*$G$7/(SUM($G$7:$G$11)))+('Sieve AnalysisRTT'!D17*$G$8/(SUM($G$7:$G$11)))+('Sieve AnalysisRTT'!E17*$G$9/(SUM($G$7:$G$11)))+('Sieve AnalysisRTT'!F17*$G$10/(SUM($G$7:$G$11)))+('Sieve AnalysisRTT'!G17*'Mix Design'!$G$11/(SUM('Mix Design'!$G$7:$G$11)))</f>
        <v>1.3976115579477701E-2</v>
      </c>
      <c r="D49" s="407">
        <f t="shared" si="2"/>
        <v>5.5904462317910797E-2</v>
      </c>
      <c r="E49" s="407">
        <v>0.1</v>
      </c>
      <c r="F49" s="408">
        <v>0</v>
      </c>
      <c r="G49" s="433" t="str">
        <f t="shared" si="1"/>
        <v>YES</v>
      </c>
      <c r="H49" s="398"/>
      <c r="I49" s="398"/>
      <c r="O49" s="127"/>
      <c r="P49" s="127"/>
    </row>
    <row r="50" spans="2:16" ht="18.5" thickBot="1">
      <c r="B50" s="397" t="s">
        <v>17</v>
      </c>
      <c r="C50" s="403">
        <f>('Sieve AnalysisRTT'!C18*$G$7/(SUM($G$7:$G$11)))+('Sieve AnalysisRTT'!D18*$G$8/(SUM($G$7:$G$11)))+('Sieve AnalysisRTT'!E18*$G$9/(SUM($G$7:$G$11)))+('Sieve AnalysisRTT'!F18*$G$10/(SUM($G$7:$G$11)))+('Sieve AnalysisRTT'!G18*'Mix Design'!$G$11/(SUM('Mix Design'!$G$7:$G$11)))</f>
        <v>6.0563167511070038E-3</v>
      </c>
      <c r="D50" s="407">
        <f t="shared" si="2"/>
        <v>7.9197988283706972E-3</v>
      </c>
      <c r="E50" s="403">
        <v>0.02</v>
      </c>
      <c r="F50" s="409">
        <v>0</v>
      </c>
      <c r="G50" s="433" t="str">
        <f t="shared" si="1"/>
        <v>YES</v>
      </c>
      <c r="H50" s="398"/>
      <c r="I50" s="398"/>
    </row>
    <row r="51" spans="2:16" ht="18">
      <c r="B51" s="373"/>
      <c r="C51" s="382" t="s">
        <v>65</v>
      </c>
      <c r="D51" s="428">
        <f>SUM(D39:D50)</f>
        <v>0.99394368324889293</v>
      </c>
      <c r="E51" s="373"/>
      <c r="F51" s="373"/>
      <c r="L51" s="398"/>
    </row>
    <row r="52" spans="2:16" ht="18.5" thickBot="1">
      <c r="B52" s="373"/>
      <c r="C52" s="382"/>
      <c r="D52" s="398"/>
      <c r="E52" s="373"/>
      <c r="F52" s="373"/>
      <c r="L52" s="373"/>
    </row>
    <row r="53" spans="2:16" ht="18">
      <c r="B53" s="491" t="s">
        <v>66</v>
      </c>
      <c r="C53" s="491"/>
      <c r="D53" s="437">
        <f>SUM(D45:D47)</f>
        <v>0.32524091403562994</v>
      </c>
      <c r="E53" s="395" t="str">
        <f>IF(D53&gt;=0.15,"YES","NO")</f>
        <v>YES</v>
      </c>
      <c r="F53" s="482" t="s">
        <v>251</v>
      </c>
      <c r="G53" s="483"/>
      <c r="L53" s="373"/>
    </row>
    <row r="54" spans="2:16" ht="18">
      <c r="B54" s="484" t="s">
        <v>67</v>
      </c>
      <c r="C54" s="484"/>
      <c r="D54" s="484"/>
      <c r="F54" s="465" t="s">
        <v>252</v>
      </c>
      <c r="G54" s="443" t="s">
        <v>253</v>
      </c>
      <c r="I54" s="373"/>
      <c r="J54" s="373"/>
      <c r="L54" s="373"/>
    </row>
    <row r="55" spans="2:16" ht="18.5" thickBot="1">
      <c r="B55" s="491" t="s">
        <v>68</v>
      </c>
      <c r="C55" s="491"/>
      <c r="D55" s="480">
        <f>SUM(D47:D50)</f>
        <v>0.30506505104750409</v>
      </c>
      <c r="E55" s="395" t="str">
        <f>IF(AND(0.24&lt;=D55, D55&lt;=0.34),"YES","NO")</f>
        <v>YES</v>
      </c>
      <c r="F55" s="466">
        <v>0.34</v>
      </c>
      <c r="G55" s="409">
        <v>0.28999999999999998</v>
      </c>
      <c r="H55" s="398"/>
      <c r="I55" s="373"/>
      <c r="J55" s="373"/>
      <c r="K55" s="373"/>
      <c r="L55" s="373"/>
    </row>
    <row r="56" spans="2:16" ht="15.5">
      <c r="B56" s="484" t="s">
        <v>69</v>
      </c>
      <c r="C56" s="484"/>
      <c r="D56" s="484"/>
    </row>
    <row r="59" spans="2:16">
      <c r="E59" s="369"/>
      <c r="L59" s="384"/>
    </row>
  </sheetData>
  <sheetProtection selectLockedCells="1"/>
  <mergeCells count="26">
    <mergeCell ref="C16:D16"/>
    <mergeCell ref="C30:D30"/>
    <mergeCell ref="C31:D31"/>
    <mergeCell ref="C32:D32"/>
    <mergeCell ref="C33:D33"/>
    <mergeCell ref="C15:D15"/>
    <mergeCell ref="C6:D6"/>
    <mergeCell ref="C7:D7"/>
    <mergeCell ref="C8:D8"/>
    <mergeCell ref="C9:D9"/>
    <mergeCell ref="C10:D10"/>
    <mergeCell ref="C12:D12"/>
    <mergeCell ref="C13:D13"/>
    <mergeCell ref="C14:D14"/>
    <mergeCell ref="C11:D11"/>
    <mergeCell ref="F53:G53"/>
    <mergeCell ref="B56:D56"/>
    <mergeCell ref="E30:F30"/>
    <mergeCell ref="E31:F31"/>
    <mergeCell ref="E32:F32"/>
    <mergeCell ref="E33:F33"/>
    <mergeCell ref="E34:F34"/>
    <mergeCell ref="B55:C55"/>
    <mergeCell ref="C34:D34"/>
    <mergeCell ref="B53:C53"/>
    <mergeCell ref="B54:D54"/>
  </mergeCells>
  <conditionalFormatting sqref="G17">
    <cfRule type="containsText" dxfId="1" priority="1" operator="containsText" text="27">
      <formula>NOT(ISERROR(SEARCH("27",G17)))</formula>
    </cfRule>
  </conditionalFormatting>
  <conditionalFormatting sqref="G39:G50">
    <cfRule type="containsText" dxfId="0" priority="2" operator="containsText" text="YES">
      <formula>NOT(ISERROR(SEARCH("YES",G39)))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DG271"/>
  <sheetViews>
    <sheetView topLeftCell="A7" zoomScale="90" zoomScaleNormal="90" workbookViewId="0">
      <selection activeCell="A3" sqref="A3:M32"/>
    </sheetView>
  </sheetViews>
  <sheetFormatPr defaultColWidth="8.54296875" defaultRowHeight="14.5"/>
  <cols>
    <col min="1" max="1" width="15.54296875" customWidth="1"/>
    <col min="2" max="2" width="12.453125" customWidth="1"/>
    <col min="3" max="3" width="11.54296875" customWidth="1"/>
    <col min="4" max="4" width="14.453125" customWidth="1"/>
    <col min="5" max="5" width="16.453125" customWidth="1"/>
    <col min="6" max="7" width="10" customWidth="1"/>
    <col min="9" max="11" width="12.54296875" customWidth="1"/>
    <col min="12" max="12" width="10.54296875" customWidth="1"/>
    <col min="14" max="14" width="19.453125" bestFit="1" customWidth="1"/>
    <col min="18" max="18" width="14" customWidth="1"/>
    <col min="22" max="22" width="11.453125" customWidth="1"/>
    <col min="26" max="26" width="12.453125" customWidth="1"/>
    <col min="27" max="27" width="12.54296875" customWidth="1"/>
    <col min="28" max="28" width="16.54296875" customWidth="1"/>
    <col min="29" max="29" width="10.453125" bestFit="1" customWidth="1"/>
    <col min="32" max="32" width="15.453125" customWidth="1"/>
    <col min="33" max="33" width="13.453125" customWidth="1"/>
    <col min="34" max="34" width="10.54296875" customWidth="1"/>
    <col min="35" max="35" width="10.453125" customWidth="1"/>
    <col min="36" max="36" width="12" customWidth="1"/>
    <col min="37" max="37" width="10.453125" customWidth="1"/>
    <col min="39" max="39" width="15.54296875" customWidth="1"/>
    <col min="40" max="40" width="12.453125" customWidth="1"/>
    <col min="41" max="41" width="13.54296875" customWidth="1"/>
    <col min="42" max="42" width="12.453125" bestFit="1" customWidth="1"/>
    <col min="43" max="43" width="9.453125" customWidth="1"/>
    <col min="50" max="50" width="15.453125" customWidth="1"/>
    <col min="62" max="62" width="19.453125" customWidth="1"/>
    <col min="64" max="64" width="11.453125" customWidth="1"/>
    <col min="66" max="66" width="10.453125" customWidth="1"/>
    <col min="67" max="67" width="14" customWidth="1"/>
    <col min="69" max="69" width="15.453125" customWidth="1"/>
    <col min="71" max="71" width="12.54296875" customWidth="1"/>
    <col min="72" max="72" width="10.54296875" customWidth="1"/>
    <col min="73" max="73" width="11.453125" customWidth="1"/>
    <col min="74" max="74" width="10.54296875" customWidth="1"/>
    <col min="75" max="75" width="17.54296875" customWidth="1"/>
    <col min="76" max="76" width="11.453125" customWidth="1"/>
    <col min="77" max="77" width="13.453125" customWidth="1"/>
    <col min="78" max="78" width="12.453125" customWidth="1"/>
    <col min="79" max="79" width="13.453125" customWidth="1"/>
  </cols>
  <sheetData>
    <row r="1" spans="14:111" ht="18" thickBot="1">
      <c r="Q1" s="343"/>
      <c r="R1" s="270"/>
      <c r="S1" s="132"/>
      <c r="U1" s="343"/>
      <c r="V1" s="270"/>
      <c r="W1" s="371"/>
      <c r="Z1" s="50"/>
      <c r="BH1" s="29"/>
      <c r="BI1" s="79"/>
      <c r="BJ1" s="79"/>
      <c r="BK1" s="79"/>
      <c r="BL1" s="117"/>
      <c r="BM1" s="134"/>
      <c r="BN1" s="134"/>
      <c r="BO1" s="134"/>
      <c r="BP1" s="134"/>
      <c r="BQ1" s="134"/>
      <c r="BR1" s="369"/>
      <c r="BS1" s="134"/>
      <c r="BT1" s="71"/>
      <c r="BU1" s="370"/>
      <c r="BX1" s="356" t="s">
        <v>18</v>
      </c>
      <c r="BY1" s="354">
        <v>1.021405182655144E-14</v>
      </c>
      <c r="BZ1" s="354">
        <v>4.4408920985006262E-15</v>
      </c>
      <c r="CA1" s="354">
        <v>0</v>
      </c>
      <c r="CB1" s="352">
        <f>AVERAGE(BY1:CA1)</f>
        <v>4.8849813083506888E-15</v>
      </c>
      <c r="CC1" s="352">
        <f>STDEV(BY1:CA1)</f>
        <v>5.121486610213742E-15</v>
      </c>
    </row>
    <row r="2" spans="14:111" ht="16" thickTop="1">
      <c r="Q2" s="343"/>
      <c r="R2" s="270"/>
      <c r="S2" s="132"/>
      <c r="U2" s="343"/>
      <c r="V2" s="270"/>
      <c r="W2" s="371"/>
      <c r="Z2" s="50"/>
      <c r="BH2" s="29"/>
      <c r="BI2" s="79"/>
      <c r="BJ2" s="79"/>
      <c r="BK2" s="79"/>
      <c r="BL2" s="71"/>
      <c r="BM2" s="134"/>
      <c r="BN2" s="134"/>
      <c r="BO2" s="134"/>
      <c r="BP2" s="134"/>
      <c r="BQ2" s="134"/>
      <c r="BR2" s="369"/>
      <c r="BS2" s="134"/>
      <c r="BT2" s="71"/>
      <c r="BU2" s="370"/>
    </row>
    <row r="3" spans="14:111">
      <c r="N3" s="155"/>
      <c r="O3" s="155"/>
      <c r="P3" s="155"/>
      <c r="Q3" s="155"/>
      <c r="BH3" s="29"/>
      <c r="BI3" s="79"/>
      <c r="BJ3" s="79"/>
      <c r="BK3" s="79"/>
      <c r="BL3" s="71"/>
      <c r="BM3" s="134"/>
      <c r="BN3" s="134"/>
      <c r="BO3" s="134"/>
      <c r="BP3" s="134"/>
      <c r="BQ3" s="134"/>
      <c r="BR3" s="369"/>
      <c r="BS3" s="134"/>
      <c r="BT3" s="71"/>
      <c r="BU3" s="370"/>
    </row>
    <row r="4" spans="14:111">
      <c r="O4" s="156"/>
      <c r="P4" s="156"/>
      <c r="Q4" s="156"/>
      <c r="BH4" s="29"/>
      <c r="BI4" s="79"/>
      <c r="BJ4" s="79"/>
      <c r="BK4" s="79"/>
      <c r="BL4" s="71"/>
      <c r="BM4" s="134"/>
      <c r="BN4" s="134"/>
      <c r="BO4" s="134"/>
      <c r="BP4" s="134"/>
      <c r="BQ4" s="134"/>
      <c r="BR4" s="369"/>
      <c r="BS4" s="134"/>
      <c r="BT4" s="71"/>
      <c r="BU4" s="370"/>
    </row>
    <row r="5" spans="14:111">
      <c r="BQ5" s="29"/>
      <c r="BR5" s="343"/>
      <c r="BT5" s="49"/>
      <c r="BU5" s="344"/>
      <c r="CQ5" s="29"/>
      <c r="CR5" s="29"/>
      <c r="CS5" s="29"/>
      <c r="CT5" s="29"/>
      <c r="CU5" s="29"/>
      <c r="CV5" s="29"/>
      <c r="CW5" s="29"/>
      <c r="CX5" s="29"/>
      <c r="CY5" s="29"/>
    </row>
    <row r="6" spans="14:111">
      <c r="N6" s="116"/>
      <c r="BU6" s="29"/>
      <c r="CQ6" s="29"/>
      <c r="CR6" s="29"/>
      <c r="CS6" s="29"/>
      <c r="CT6" s="29"/>
      <c r="CU6" s="29"/>
      <c r="CV6" s="29"/>
      <c r="CW6" s="29"/>
      <c r="CX6" s="29"/>
      <c r="CY6" s="29"/>
      <c r="DB6" s="29"/>
      <c r="DC6" s="29"/>
      <c r="DD6" s="29"/>
      <c r="DE6" s="29"/>
      <c r="DF6" s="29"/>
    </row>
    <row r="7" spans="14:111">
      <c r="N7" s="116"/>
      <c r="BU7" s="29"/>
      <c r="CQ7" s="29"/>
      <c r="CR7" s="29"/>
      <c r="CS7" s="29"/>
      <c r="CT7" s="29"/>
      <c r="CU7" s="29"/>
      <c r="CV7" s="29"/>
      <c r="CW7" s="29"/>
      <c r="CX7" s="29"/>
      <c r="CY7" s="29"/>
      <c r="DB7" s="29"/>
      <c r="DC7" s="29"/>
      <c r="DD7" s="29"/>
      <c r="DE7" s="29"/>
      <c r="DF7" s="29"/>
    </row>
    <row r="8" spans="14:111">
      <c r="N8" s="116"/>
      <c r="BU8" s="29"/>
      <c r="CQ8" s="29"/>
      <c r="CR8" s="29"/>
      <c r="CS8" s="29"/>
      <c r="CT8" s="29"/>
      <c r="CU8" s="29"/>
      <c r="CV8" s="29"/>
      <c r="CW8" s="29"/>
      <c r="CX8" s="29"/>
      <c r="CY8" s="29"/>
      <c r="DB8" s="29"/>
      <c r="DC8" s="29"/>
      <c r="DD8" s="29"/>
      <c r="DE8" s="29"/>
      <c r="DF8" s="29"/>
    </row>
    <row r="9" spans="14:111">
      <c r="N9" s="116"/>
      <c r="BU9" s="29"/>
      <c r="CQ9" s="29"/>
      <c r="CR9" s="29"/>
      <c r="CS9" s="29"/>
      <c r="CT9" s="29"/>
      <c r="CU9" s="29"/>
      <c r="CV9" s="29"/>
      <c r="CW9" s="29"/>
      <c r="CX9" s="29"/>
      <c r="CY9" s="29"/>
      <c r="DB9" s="29"/>
      <c r="DC9" s="29"/>
      <c r="DD9" s="29"/>
      <c r="DE9" s="29"/>
      <c r="DF9" s="29"/>
    </row>
    <row r="10" spans="14:111">
      <c r="N10" s="116"/>
      <c r="BU10" s="29"/>
      <c r="CQ10" s="29"/>
      <c r="CR10" s="29"/>
      <c r="CS10" s="29"/>
      <c r="CT10" s="29"/>
      <c r="CU10" s="29"/>
      <c r="CV10" s="29"/>
      <c r="CW10" s="29"/>
      <c r="CX10" s="29"/>
      <c r="CY10" s="29"/>
      <c r="DB10" s="29"/>
      <c r="DC10" s="29"/>
      <c r="DD10" s="29"/>
      <c r="DE10" s="29"/>
      <c r="DF10" s="29"/>
    </row>
    <row r="11" spans="14:111">
      <c r="CV11" s="122"/>
    </row>
    <row r="12" spans="14:111">
      <c r="N12" s="50"/>
      <c r="O12" s="115"/>
    </row>
    <row r="13" spans="14:111">
      <c r="N13" s="50"/>
      <c r="CO13" s="29"/>
      <c r="CP13" s="29"/>
      <c r="CQ13" s="29"/>
      <c r="CR13" s="29"/>
      <c r="CS13" s="29"/>
      <c r="CT13" s="29"/>
      <c r="CU13" s="29"/>
      <c r="CV13" s="306"/>
      <c r="CW13" s="29"/>
      <c r="CX13" s="29"/>
      <c r="CY13" s="29"/>
      <c r="DA13" s="29"/>
      <c r="DB13" s="29"/>
      <c r="DC13" s="29"/>
      <c r="DD13" s="29"/>
      <c r="DE13" s="29"/>
      <c r="DF13" s="306"/>
      <c r="DG13" s="29"/>
    </row>
    <row r="15" spans="14:111">
      <c r="DD15" s="29"/>
      <c r="DE15" s="29"/>
      <c r="DF15" s="29"/>
    </row>
    <row r="19" spans="108:110">
      <c r="DD19" s="29"/>
      <c r="DE19" s="29"/>
      <c r="DF19" s="29"/>
    </row>
    <row r="46" spans="2:8">
      <c r="G46" s="57" t="s">
        <v>71</v>
      </c>
      <c r="H46" s="54" t="s">
        <v>72</v>
      </c>
    </row>
    <row r="47" spans="2:8">
      <c r="B47" s="60" t="s">
        <v>73</v>
      </c>
      <c r="C47" s="61"/>
      <c r="G47" s="58">
        <v>0.8</v>
      </c>
      <c r="H47" s="51">
        <v>0.26500000000000001</v>
      </c>
    </row>
    <row r="48" spans="2:8">
      <c r="B48" s="62" t="s">
        <v>74</v>
      </c>
      <c r="C48" s="63" t="s">
        <v>75</v>
      </c>
      <c r="G48" s="59">
        <v>0.3</v>
      </c>
      <c r="H48" s="56">
        <v>0.35</v>
      </c>
    </row>
    <row r="49" spans="2:90">
      <c r="B49" s="55">
        <v>0.68</v>
      </c>
      <c r="C49" s="56">
        <v>0.32</v>
      </c>
      <c r="D49" s="75">
        <v>0.68</v>
      </c>
      <c r="E49" s="76">
        <v>0.32</v>
      </c>
      <c r="G49" s="64">
        <f>G47</f>
        <v>0.8</v>
      </c>
      <c r="H49" s="56">
        <f>0.38</f>
        <v>0.38</v>
      </c>
    </row>
    <row r="50" spans="2:90">
      <c r="B50" s="55">
        <v>0.68</v>
      </c>
      <c r="C50" s="56">
        <v>0.36</v>
      </c>
      <c r="D50" s="52">
        <v>0.52</v>
      </c>
      <c r="E50" s="53">
        <v>0.34</v>
      </c>
      <c r="G50" s="65">
        <v>0.3</v>
      </c>
      <c r="H50" s="66">
        <v>0.46500000000000002</v>
      </c>
    </row>
    <row r="51" spans="2:90">
      <c r="B51" s="55">
        <v>0.52</v>
      </c>
      <c r="C51" s="56">
        <v>0.38</v>
      </c>
      <c r="G51" s="65">
        <v>0.75</v>
      </c>
      <c r="H51" s="66">
        <v>0.27350000000000002</v>
      </c>
    </row>
    <row r="52" spans="2:90">
      <c r="B52" s="52">
        <v>0.52</v>
      </c>
      <c r="C52" s="53">
        <v>0.34</v>
      </c>
      <c r="D52" s="74"/>
      <c r="E52" s="50"/>
      <c r="G52" s="67">
        <f>G51</f>
        <v>0.75</v>
      </c>
      <c r="H52" s="66">
        <v>0.38850000000000001</v>
      </c>
    </row>
    <row r="53" spans="2:90">
      <c r="G53" s="67">
        <v>0.45</v>
      </c>
      <c r="H53" s="68">
        <v>0.32450000000000001</v>
      </c>
    </row>
    <row r="54" spans="2:90">
      <c r="G54" s="69">
        <f>G53</f>
        <v>0.45</v>
      </c>
      <c r="H54" s="70">
        <v>0.4395</v>
      </c>
    </row>
    <row r="56" spans="2:90">
      <c r="AC56" s="501"/>
      <c r="AD56" s="501"/>
      <c r="AE56" s="501"/>
      <c r="AF56" s="501"/>
      <c r="AG56" s="501"/>
      <c r="BO56" s="29"/>
      <c r="BP56" s="29"/>
      <c r="BQ56" s="29"/>
      <c r="BR56" s="29"/>
      <c r="BW56" s="29"/>
      <c r="BX56" s="252"/>
      <c r="BZ56" s="29"/>
      <c r="CA56" s="29"/>
      <c r="CB56" s="29"/>
      <c r="CK56" s="29"/>
      <c r="CL56" s="1"/>
    </row>
    <row r="57" spans="2:90">
      <c r="AC57" s="501"/>
      <c r="AD57" s="501"/>
      <c r="AE57" s="501"/>
      <c r="AF57" s="501"/>
      <c r="AG57" s="501"/>
      <c r="AN57" s="29"/>
      <c r="AO57" s="29"/>
      <c r="AP57" s="29"/>
      <c r="BS57" s="1"/>
      <c r="BU57" s="345"/>
      <c r="BV57" s="154"/>
      <c r="BW57" s="133"/>
      <c r="BX57" s="252"/>
      <c r="BY57" s="289"/>
      <c r="CA57" s="214"/>
      <c r="CB57" s="223"/>
      <c r="CK57" s="29"/>
      <c r="CL57" s="1"/>
    </row>
    <row r="58" spans="2:90">
      <c r="B58" s="104" t="s">
        <v>76</v>
      </c>
      <c r="C58" s="104" t="s">
        <v>77</v>
      </c>
      <c r="D58" s="104" t="s">
        <v>78</v>
      </c>
      <c r="E58" s="104" t="s">
        <v>79</v>
      </c>
      <c r="H58" s="26" t="s">
        <v>80</v>
      </c>
      <c r="I58" s="24"/>
      <c r="J58" s="24"/>
      <c r="K58" s="7"/>
      <c r="N58" s="157"/>
      <c r="BE58" s="29" t="s">
        <v>71</v>
      </c>
      <c r="BF58" s="29" t="s">
        <v>72</v>
      </c>
      <c r="BH58" s="29"/>
      <c r="BI58" s="79"/>
      <c r="BJ58" s="79"/>
      <c r="BK58" s="79"/>
      <c r="BL58" s="71"/>
      <c r="BM58" s="134"/>
      <c r="BN58" s="134"/>
      <c r="BO58" s="134"/>
      <c r="BP58" s="134"/>
      <c r="BQ58" s="134"/>
      <c r="BR58" s="369"/>
      <c r="BS58" s="134"/>
      <c r="BT58" s="71"/>
      <c r="BU58" s="370"/>
    </row>
    <row r="59" spans="2:90">
      <c r="B59" s="92">
        <v>1.5</v>
      </c>
      <c r="C59" s="98">
        <v>37.5</v>
      </c>
      <c r="D59" s="99">
        <f t="shared" ref="D59:D70" si="0">C59*1000</f>
        <v>37500</v>
      </c>
      <c r="E59" s="100">
        <f t="shared" ref="E59:E70" si="1">D59^0.45</f>
        <v>114.37051336098466</v>
      </c>
      <c r="H59" s="22"/>
      <c r="I59" s="6"/>
      <c r="J59" s="25" t="s">
        <v>81</v>
      </c>
      <c r="K59" s="7"/>
      <c r="N59" s="29"/>
      <c r="O59" s="72"/>
      <c r="P59" s="71"/>
      <c r="Q59" s="72"/>
      <c r="AD59" s="71"/>
      <c r="AE59" s="72"/>
      <c r="AZ59" s="50"/>
      <c r="BE59" s="30">
        <v>12</v>
      </c>
      <c r="BF59" s="83">
        <v>0</v>
      </c>
      <c r="BH59" s="29"/>
      <c r="BI59" s="79"/>
      <c r="BJ59" s="79"/>
      <c r="BK59" s="79"/>
      <c r="BL59" s="71"/>
      <c r="BM59" s="134"/>
      <c r="BN59" s="134"/>
      <c r="BO59" s="134"/>
      <c r="BP59" s="134"/>
      <c r="BQ59" s="134"/>
      <c r="BR59" s="369"/>
      <c r="BS59" s="134"/>
      <c r="BT59" s="71"/>
      <c r="BU59" s="370"/>
    </row>
    <row r="60" spans="2:90" ht="27">
      <c r="B60" s="93">
        <v>1</v>
      </c>
      <c r="C60" s="101">
        <v>25</v>
      </c>
      <c r="D60" s="99">
        <f t="shared" si="0"/>
        <v>25000</v>
      </c>
      <c r="E60" s="102">
        <f t="shared" si="1"/>
        <v>95.295634032720628</v>
      </c>
      <c r="H60" s="8" t="s">
        <v>1</v>
      </c>
      <c r="I60" s="23" t="s">
        <v>82</v>
      </c>
      <c r="J60" s="23" t="s">
        <v>83</v>
      </c>
      <c r="K60" s="7" t="s">
        <v>84</v>
      </c>
      <c r="N60" s="29"/>
      <c r="O60" s="72"/>
      <c r="P60" s="71"/>
      <c r="Q60" s="72"/>
      <c r="AZ60" s="50"/>
      <c r="BE60" s="48">
        <v>11</v>
      </c>
      <c r="BF60" s="84">
        <v>0.18</v>
      </c>
      <c r="BH60" s="29"/>
      <c r="BI60" s="79"/>
      <c r="BJ60" s="79"/>
      <c r="BK60" s="79"/>
      <c r="BL60" s="71"/>
      <c r="BM60" s="134"/>
      <c r="BN60" s="134"/>
      <c r="BO60" s="134"/>
      <c r="BP60" s="134"/>
      <c r="BQ60" s="134"/>
      <c r="BR60" s="369"/>
      <c r="BS60" s="134"/>
      <c r="BT60" s="71"/>
      <c r="BU60" s="370"/>
    </row>
    <row r="61" spans="2:90">
      <c r="B61" s="93">
        <v>0.75</v>
      </c>
      <c r="C61" s="101">
        <v>19</v>
      </c>
      <c r="D61" s="99">
        <f t="shared" si="0"/>
        <v>19000</v>
      </c>
      <c r="E61" s="100">
        <f t="shared" si="1"/>
        <v>84.224631674288489</v>
      </c>
      <c r="H61" s="19">
        <v>1.5</v>
      </c>
      <c r="I61" s="228" t="e">
        <f>B$78*'Mix Design'!#REF!+'Mix Design'!#REF!*C$78+D$78*'Mix Design'!#REF!</f>
        <v>#REF!</v>
      </c>
      <c r="J61" s="124" t="e">
        <f>1-I61</f>
        <v>#REF!</v>
      </c>
      <c r="K61" s="229" t="e">
        <f>J61</f>
        <v>#REF!</v>
      </c>
      <c r="N61" s="29"/>
      <c r="O61" s="72"/>
      <c r="P61" s="71"/>
      <c r="Q61" s="72"/>
      <c r="BE61" s="48">
        <v>2</v>
      </c>
      <c r="BF61" s="84">
        <v>0.18</v>
      </c>
      <c r="BH61" s="29"/>
      <c r="BI61" s="79"/>
      <c r="BJ61" s="79"/>
      <c r="BK61" s="79"/>
      <c r="BL61" s="71"/>
      <c r="BM61" s="134"/>
      <c r="BN61" s="134"/>
      <c r="BO61" s="134"/>
      <c r="BP61" s="134"/>
      <c r="BQ61" s="134"/>
      <c r="BR61" s="369"/>
      <c r="BS61" s="134"/>
      <c r="BT61" s="71"/>
      <c r="BU61" s="370"/>
    </row>
    <row r="62" spans="2:90" ht="18" thickBot="1">
      <c r="B62" s="93">
        <v>0.5</v>
      </c>
      <c r="C62" s="101">
        <v>12.5</v>
      </c>
      <c r="D62" s="99">
        <f t="shared" si="0"/>
        <v>12500</v>
      </c>
      <c r="E62" s="100">
        <f t="shared" si="1"/>
        <v>69.760487336687731</v>
      </c>
      <c r="F62" s="74"/>
      <c r="G62" s="74"/>
      <c r="H62" s="19">
        <v>1</v>
      </c>
      <c r="I62" s="228" t="e">
        <f>B$78*'Mix Design'!#REF!+'Mix Design'!#REF!*C$78+D$78*'Mix Design'!#REF!</f>
        <v>#REF!</v>
      </c>
      <c r="J62" s="65" t="e">
        <f>I61-I62</f>
        <v>#REF!</v>
      </c>
      <c r="K62" s="230" t="e">
        <f>J61+J62</f>
        <v>#REF!</v>
      </c>
      <c r="L62" s="31" t="s">
        <v>85</v>
      </c>
      <c r="M62" s="60"/>
      <c r="N62" s="29"/>
      <c r="O62" s="72"/>
      <c r="P62" s="71"/>
      <c r="Q62" s="72"/>
      <c r="BE62" s="85">
        <v>1</v>
      </c>
      <c r="BF62" s="86">
        <v>0</v>
      </c>
      <c r="BH62" s="29"/>
      <c r="BI62" s="79"/>
      <c r="BJ62" s="79"/>
      <c r="BK62" s="79"/>
      <c r="BL62" s="71"/>
      <c r="BM62" s="134"/>
      <c r="BN62" s="134"/>
      <c r="BO62" s="134"/>
      <c r="BP62" s="134"/>
      <c r="BQ62" s="134"/>
      <c r="BR62" s="369"/>
      <c r="BS62" s="134"/>
      <c r="BT62" s="71"/>
      <c r="BU62" s="370"/>
      <c r="BX62" s="357"/>
    </row>
    <row r="63" spans="2:90" ht="19" thickTop="1" thickBot="1">
      <c r="B63" s="94">
        <f>3/8</f>
        <v>0.375</v>
      </c>
      <c r="C63" s="101">
        <v>9.5</v>
      </c>
      <c r="D63" s="99">
        <f t="shared" si="0"/>
        <v>9500</v>
      </c>
      <c r="E63" s="100">
        <f t="shared" si="1"/>
        <v>61.656039240307337</v>
      </c>
      <c r="F63" s="74"/>
      <c r="G63" s="74"/>
      <c r="H63" s="19">
        <v>0.75</v>
      </c>
      <c r="I63" s="228" t="e">
        <f>B$78*'Mix Design'!#REF!+'Mix Design'!#REF!*C$78+D$78*'Mix Design'!#REF!</f>
        <v>#REF!</v>
      </c>
      <c r="J63" s="65" t="e">
        <f t="shared" ref="J63:J72" si="2">I62-I63</f>
        <v>#REF!</v>
      </c>
      <c r="K63" s="230" t="e">
        <f>J62+J63</f>
        <v>#REF!</v>
      </c>
      <c r="L63" s="105">
        <f>E60</f>
        <v>95.295634032720628</v>
      </c>
      <c r="M63" s="336">
        <v>1</v>
      </c>
      <c r="N63" s="29"/>
      <c r="O63" s="72"/>
      <c r="P63" s="71"/>
      <c r="Q63" s="72"/>
      <c r="BE63" s="30">
        <v>10</v>
      </c>
      <c r="BF63" s="83">
        <v>0</v>
      </c>
      <c r="BH63" s="29"/>
      <c r="BI63" s="79"/>
      <c r="BJ63" s="79"/>
      <c r="BK63" s="79"/>
      <c r="BL63" s="71"/>
      <c r="BM63" s="134"/>
      <c r="BN63" s="134"/>
      <c r="BO63" s="134"/>
      <c r="BP63" s="134"/>
      <c r="BQ63" s="134"/>
      <c r="BR63" s="369"/>
      <c r="BS63" s="134"/>
      <c r="BT63" s="71"/>
      <c r="BU63" s="370"/>
      <c r="BX63" s="347"/>
      <c r="BY63" s="358"/>
      <c r="BZ63" s="358"/>
      <c r="CA63" s="359"/>
      <c r="CB63" s="350"/>
      <c r="CC63" s="360"/>
    </row>
    <row r="64" spans="2:90" ht="18">
      <c r="B64" s="95" t="s">
        <v>11</v>
      </c>
      <c r="C64" s="101">
        <v>4.75</v>
      </c>
      <c r="D64" s="99">
        <f t="shared" si="0"/>
        <v>4750</v>
      </c>
      <c r="E64" s="100">
        <f t="shared" si="1"/>
        <v>45.134862560198059</v>
      </c>
      <c r="F64" s="74"/>
      <c r="G64" s="74"/>
      <c r="H64" s="19">
        <v>0.5</v>
      </c>
      <c r="I64" s="228" t="e">
        <f>B$78*'Mix Design'!#REF!+'Mix Design'!#REF!*C$78+D$78*'Mix Design'!#REF!</f>
        <v>#REF!</v>
      </c>
      <c r="J64" s="65" t="e">
        <f t="shared" si="2"/>
        <v>#REF!</v>
      </c>
      <c r="K64" s="230" t="e">
        <f t="shared" ref="K64:K72" si="3">K63+J64</f>
        <v>#REF!</v>
      </c>
      <c r="L64" s="91">
        <v>0</v>
      </c>
      <c r="M64" s="336">
        <v>0</v>
      </c>
      <c r="N64" s="29"/>
      <c r="O64" s="72"/>
      <c r="P64" s="71"/>
      <c r="Q64" s="72"/>
      <c r="BE64" s="48">
        <v>9</v>
      </c>
      <c r="BF64" s="84">
        <v>0.08</v>
      </c>
      <c r="BH64" s="29"/>
      <c r="BI64" s="79"/>
      <c r="BJ64" s="79"/>
      <c r="BK64" s="79"/>
      <c r="BL64" s="71"/>
      <c r="BM64" s="134"/>
      <c r="BN64" s="134"/>
      <c r="BO64" s="134"/>
      <c r="BP64" s="134"/>
      <c r="BQ64" s="134"/>
      <c r="BR64" s="369"/>
      <c r="BS64" s="134"/>
      <c r="BT64" s="71"/>
      <c r="BU64" s="370"/>
      <c r="BX64" s="361"/>
      <c r="BY64" s="362"/>
      <c r="BZ64" s="362"/>
      <c r="CA64" s="362"/>
      <c r="CB64" s="352"/>
      <c r="CC64" s="363"/>
    </row>
    <row r="65" spans="1:81" ht="17.5">
      <c r="B65" s="96" t="s">
        <v>12</v>
      </c>
      <c r="C65" s="101">
        <v>2.36</v>
      </c>
      <c r="D65" s="99">
        <f t="shared" si="0"/>
        <v>2360</v>
      </c>
      <c r="E65" s="100">
        <f t="shared" si="1"/>
        <v>32.946584684146316</v>
      </c>
      <c r="F65" s="74"/>
      <c r="G65" s="74"/>
      <c r="H65" s="7">
        <v>0.375</v>
      </c>
      <c r="I65" s="228" t="e">
        <f>B$78*'Mix Design'!#REF!+'Mix Design'!#REF!*C$78+D$78*'Mix Design'!#REF!</f>
        <v>#REF!</v>
      </c>
      <c r="J65" s="65" t="e">
        <f t="shared" si="2"/>
        <v>#REF!</v>
      </c>
      <c r="K65" s="231" t="e">
        <f t="shared" si="3"/>
        <v>#REF!</v>
      </c>
      <c r="N65" s="29"/>
      <c r="O65" s="72"/>
      <c r="P65" s="71"/>
      <c r="Q65" s="72"/>
      <c r="BE65" s="48">
        <v>4</v>
      </c>
      <c r="BF65" s="84">
        <v>0.08</v>
      </c>
      <c r="BH65" s="29"/>
      <c r="BI65" s="79"/>
      <c r="BJ65" s="79"/>
      <c r="BK65" s="79"/>
      <c r="BL65" s="71"/>
      <c r="BM65" s="134"/>
      <c r="BN65" s="134"/>
      <c r="BO65" s="134"/>
      <c r="BP65" s="134"/>
      <c r="BQ65" s="134"/>
      <c r="BR65" s="369"/>
      <c r="BS65" s="134"/>
      <c r="BT65" s="71"/>
      <c r="BU65" s="370"/>
      <c r="BX65" s="353"/>
      <c r="BY65" s="364"/>
      <c r="BZ65" s="364"/>
      <c r="CA65" s="364"/>
      <c r="CB65" s="352"/>
      <c r="CC65" s="352"/>
    </row>
    <row r="66" spans="1:81" ht="17.5">
      <c r="B66" s="96" t="s">
        <v>13</v>
      </c>
      <c r="C66" s="101">
        <v>1.18</v>
      </c>
      <c r="D66" s="99">
        <f t="shared" si="0"/>
        <v>1180</v>
      </c>
      <c r="E66" s="100">
        <f t="shared" si="1"/>
        <v>24.11831168315992</v>
      </c>
      <c r="F66" s="74"/>
      <c r="G66" s="74"/>
      <c r="H66" s="20" t="s">
        <v>11</v>
      </c>
      <c r="I66" s="228" t="e">
        <f>B$78*'Mix Design'!#REF!+'Mix Design'!#REF!*C$78+D$78*'Mix Design'!#REF!</f>
        <v>#REF!</v>
      </c>
      <c r="J66" s="65" t="e">
        <f t="shared" si="2"/>
        <v>#REF!</v>
      </c>
      <c r="K66" s="230" t="e">
        <f t="shared" si="3"/>
        <v>#REF!</v>
      </c>
      <c r="L66" s="60" t="s">
        <v>86</v>
      </c>
      <c r="M66" s="337"/>
      <c r="N66" s="29"/>
      <c r="O66" s="72"/>
      <c r="P66" s="71"/>
      <c r="Q66" s="72"/>
      <c r="BE66" s="85">
        <v>3</v>
      </c>
      <c r="BF66" s="86">
        <v>0</v>
      </c>
      <c r="BH66" s="29"/>
      <c r="BI66" s="79"/>
      <c r="BJ66" s="79"/>
      <c r="BK66" s="79"/>
      <c r="BL66" s="71"/>
      <c r="BM66" s="134"/>
      <c r="BN66" s="134"/>
      <c r="BO66" s="134"/>
      <c r="BP66" s="134"/>
      <c r="BQ66" s="134"/>
      <c r="BR66" s="369"/>
      <c r="BS66" s="134"/>
      <c r="BT66" s="71"/>
      <c r="BU66" s="370"/>
      <c r="BX66" s="353"/>
      <c r="BY66" s="364"/>
      <c r="BZ66" s="364"/>
      <c r="CA66" s="364"/>
      <c r="CB66" s="352"/>
      <c r="CC66" s="352"/>
    </row>
    <row r="67" spans="1:81" ht="17.5">
      <c r="B67" s="96" t="s">
        <v>14</v>
      </c>
      <c r="C67" s="101">
        <v>0.6</v>
      </c>
      <c r="D67" s="99">
        <f t="shared" si="0"/>
        <v>600</v>
      </c>
      <c r="E67" s="100">
        <f t="shared" si="1"/>
        <v>17.789676992918196</v>
      </c>
      <c r="F67" s="74"/>
      <c r="G67" s="74"/>
      <c r="H67" s="21" t="s">
        <v>12</v>
      </c>
      <c r="I67" s="232" t="e">
        <f>B$78*'Mix Design'!#REF!+'Mix Design'!#REF!*C$78+D$78*'Mix Design'!#REF!</f>
        <v>#REF!</v>
      </c>
      <c r="J67" s="65" t="e">
        <f t="shared" si="2"/>
        <v>#REF!</v>
      </c>
      <c r="K67" s="231" t="e">
        <f>K66+J67</f>
        <v>#REF!</v>
      </c>
      <c r="L67" s="7">
        <f>L64</f>
        <v>0</v>
      </c>
      <c r="M67" s="338">
        <f>M64</f>
        <v>0</v>
      </c>
      <c r="N67" s="29"/>
      <c r="O67" s="72"/>
      <c r="P67" s="71"/>
      <c r="Q67" s="72"/>
      <c r="BX67" s="353"/>
      <c r="BY67" s="364"/>
      <c r="BZ67" s="364"/>
      <c r="CA67" s="364"/>
      <c r="CB67" s="352"/>
      <c r="CC67" s="352"/>
    </row>
    <row r="68" spans="1:81" ht="17.5">
      <c r="B68" s="96" t="s">
        <v>15</v>
      </c>
      <c r="C68" s="101">
        <v>0.3</v>
      </c>
      <c r="D68" s="99">
        <f t="shared" si="0"/>
        <v>300</v>
      </c>
      <c r="E68" s="100">
        <f t="shared" si="1"/>
        <v>13.02280581041226</v>
      </c>
      <c r="F68" s="74"/>
      <c r="G68" s="74"/>
      <c r="H68" s="21" t="s">
        <v>13</v>
      </c>
      <c r="I68" s="228" t="e">
        <f>B$78*'Mix Design'!C46+'Mix Design'!#REF!*C$78+D$78*'Mix Design'!#REF!</f>
        <v>#REF!</v>
      </c>
      <c r="J68" s="65" t="e">
        <f t="shared" si="2"/>
        <v>#REF!</v>
      </c>
      <c r="K68" s="230" t="e">
        <f t="shared" si="3"/>
        <v>#REF!</v>
      </c>
      <c r="L68" s="107">
        <f>E61</f>
        <v>84.224631674288489</v>
      </c>
      <c r="M68" s="338">
        <f>M63</f>
        <v>1</v>
      </c>
      <c r="N68" s="29"/>
      <c r="O68" s="72"/>
      <c r="P68" s="71"/>
      <c r="Q68" s="72"/>
      <c r="BX68" s="353"/>
      <c r="BY68" s="364"/>
      <c r="BZ68" s="364"/>
      <c r="CA68" s="364"/>
      <c r="CB68" s="352"/>
      <c r="CC68" s="352"/>
    </row>
    <row r="69" spans="1:81" ht="17.5">
      <c r="B69" s="96" t="s">
        <v>16</v>
      </c>
      <c r="C69" s="101">
        <v>0.15</v>
      </c>
      <c r="D69" s="99">
        <f t="shared" si="0"/>
        <v>150</v>
      </c>
      <c r="E69" s="100">
        <f t="shared" si="1"/>
        <v>9.533251854051084</v>
      </c>
      <c r="F69" s="74"/>
      <c r="G69" s="74"/>
      <c r="H69" s="21" t="s">
        <v>14</v>
      </c>
      <c r="I69" s="228" t="e">
        <f>B$78*'Mix Design'!C47+'Mix Design'!#REF!*C$78+D$78*'Mix Design'!#REF!</f>
        <v>#REF!</v>
      </c>
      <c r="J69" s="65" t="e">
        <f t="shared" si="2"/>
        <v>#REF!</v>
      </c>
      <c r="K69" s="65" t="e">
        <f t="shared" si="3"/>
        <v>#REF!</v>
      </c>
      <c r="N69" s="29"/>
      <c r="O69" s="72"/>
      <c r="P69" s="71"/>
      <c r="Q69" s="72"/>
      <c r="AV69" s="29"/>
      <c r="AX69" s="29"/>
      <c r="BX69" s="353"/>
      <c r="BY69" s="364"/>
      <c r="BZ69" s="364"/>
      <c r="CA69" s="364"/>
      <c r="CB69" s="352"/>
      <c r="CC69" s="352"/>
    </row>
    <row r="70" spans="1:81" ht="18" thickBot="1">
      <c r="B70" s="97" t="s">
        <v>17</v>
      </c>
      <c r="C70" s="103">
        <v>7.4999999999999997E-2</v>
      </c>
      <c r="D70" s="103">
        <f t="shared" si="0"/>
        <v>75</v>
      </c>
      <c r="E70" s="102">
        <f t="shared" si="1"/>
        <v>6.9787488376816533</v>
      </c>
      <c r="F70" s="74"/>
      <c r="G70" s="74"/>
      <c r="H70" s="21" t="s">
        <v>15</v>
      </c>
      <c r="I70" s="228" t="e">
        <f>B$78*'Mix Design'!C48+'Mix Design'!#REF!*C$78+D$78*'Mix Design'!#REF!</f>
        <v>#REF!</v>
      </c>
      <c r="J70" s="65" t="e">
        <f t="shared" si="2"/>
        <v>#REF!</v>
      </c>
      <c r="K70" s="65" t="e">
        <f t="shared" si="3"/>
        <v>#REF!</v>
      </c>
      <c r="L70" s="60" t="s">
        <v>87</v>
      </c>
      <c r="M70" s="337"/>
      <c r="N70" s="29"/>
      <c r="O70" s="72"/>
      <c r="P70" s="71"/>
      <c r="Q70" s="72"/>
      <c r="AV70" s="29"/>
      <c r="AW70" s="79"/>
      <c r="AX70" s="79"/>
      <c r="BI70" s="162" t="s">
        <v>88</v>
      </c>
      <c r="BJ70" s="163" t="s">
        <v>89</v>
      </c>
      <c r="BK70" s="164" t="s">
        <v>90</v>
      </c>
      <c r="BL70" s="165"/>
      <c r="BM70" s="166"/>
      <c r="BN70" s="167" t="s">
        <v>91</v>
      </c>
      <c r="BO70" s="168"/>
      <c r="BX70" s="365"/>
      <c r="BY70" s="366"/>
      <c r="BZ70" s="366"/>
      <c r="CA70" s="366"/>
      <c r="CB70" s="352"/>
      <c r="CC70" s="352"/>
    </row>
    <row r="71" spans="1:81" ht="15" thickTop="1">
      <c r="F71" s="74"/>
      <c r="G71" s="74"/>
      <c r="H71" s="21" t="s">
        <v>16</v>
      </c>
      <c r="I71" s="228" t="e">
        <f>B$78*'Mix Design'!C49+'Mix Design'!#REF!*C$78+D$78*'Mix Design'!#REF!</f>
        <v>#REF!</v>
      </c>
      <c r="J71" s="65" t="e">
        <f t="shared" si="2"/>
        <v>#REF!</v>
      </c>
      <c r="K71" s="65" t="e">
        <f t="shared" si="3"/>
        <v>#REF!</v>
      </c>
      <c r="L71" s="7">
        <f>L67</f>
        <v>0</v>
      </c>
      <c r="M71" s="106">
        <f>M67</f>
        <v>0</v>
      </c>
      <c r="AV71" s="29"/>
      <c r="AW71" s="79"/>
      <c r="AX71" s="79"/>
      <c r="BI71" s="169" t="s">
        <v>92</v>
      </c>
      <c r="BJ71" s="170" t="s">
        <v>93</v>
      </c>
      <c r="BK71" s="170" t="s">
        <v>94</v>
      </c>
      <c r="BL71" s="170" t="s">
        <v>0</v>
      </c>
      <c r="BM71" s="170" t="s">
        <v>95</v>
      </c>
      <c r="BN71" s="170" t="s">
        <v>96</v>
      </c>
      <c r="BO71" s="170" t="s">
        <v>97</v>
      </c>
    </row>
    <row r="72" spans="1:81">
      <c r="F72" s="74"/>
      <c r="G72" s="74"/>
      <c r="H72" s="21" t="s">
        <v>17</v>
      </c>
      <c r="I72" s="228" t="e">
        <f>B$78*'Mix Design'!#REF!+'Mix Design'!#REF!*C$78+D$78*'Mix Design'!#REF!</f>
        <v>#REF!</v>
      </c>
      <c r="J72" s="65" t="e">
        <f t="shared" si="2"/>
        <v>#REF!</v>
      </c>
      <c r="K72" s="151" t="e">
        <f t="shared" si="3"/>
        <v>#REF!</v>
      </c>
      <c r="L72" s="107">
        <f>E59</f>
        <v>114.37051336098466</v>
      </c>
      <c r="M72" s="106">
        <f>M68</f>
        <v>1</v>
      </c>
      <c r="AV72" s="29"/>
      <c r="AW72" s="79"/>
      <c r="AX72" s="79"/>
      <c r="BI72" s="171">
        <v>1</v>
      </c>
      <c r="BJ72" s="171" t="s">
        <v>98</v>
      </c>
      <c r="BK72" s="172">
        <v>0.75</v>
      </c>
      <c r="BL72" s="172">
        <v>0.25</v>
      </c>
      <c r="BM72" s="172">
        <v>0</v>
      </c>
      <c r="BN72" s="172">
        <v>108.02666666666669</v>
      </c>
      <c r="BO72" s="173">
        <v>7.6635979978430724</v>
      </c>
    </row>
    <row r="73" spans="1:81">
      <c r="A73" s="7" t="s">
        <v>99</v>
      </c>
      <c r="B73" s="4" t="s">
        <v>100</v>
      </c>
      <c r="C73" s="4" t="s">
        <v>0</v>
      </c>
      <c r="D73" s="4" t="s">
        <v>101</v>
      </c>
      <c r="E73" s="4" t="s">
        <v>65</v>
      </c>
      <c r="F73" s="74"/>
      <c r="G73" s="74"/>
      <c r="AV73" s="29"/>
      <c r="AW73" s="79"/>
      <c r="AX73" s="79"/>
      <c r="BI73" s="174">
        <v>5</v>
      </c>
      <c r="BJ73" s="174" t="s">
        <v>98</v>
      </c>
      <c r="BK73" s="175">
        <v>0.73529411764705888</v>
      </c>
      <c r="BL73" s="175">
        <v>0.26470588235294112</v>
      </c>
      <c r="BM73" s="175">
        <v>0</v>
      </c>
      <c r="BN73" s="175">
        <v>107.2</v>
      </c>
      <c r="BO73" s="176">
        <v>7.807658637241885</v>
      </c>
    </row>
    <row r="74" spans="1:81">
      <c r="A74" s="11">
        <v>2</v>
      </c>
      <c r="B74" s="152">
        <f>B81</f>
        <v>1763.9584874851973</v>
      </c>
      <c r="C74" s="152">
        <f>C81</f>
        <v>95.270378980760867</v>
      </c>
      <c r="D74" s="152">
        <f>D81</f>
        <v>1420.7974934807066</v>
      </c>
      <c r="E74" s="7">
        <f>SUM(B74:D74)</f>
        <v>3280.0263599466648</v>
      </c>
      <c r="N74" s="9"/>
      <c r="AV74" s="29"/>
      <c r="AW74" s="79"/>
      <c r="AX74" s="79"/>
      <c r="BI74" s="174">
        <v>6</v>
      </c>
      <c r="BJ74" s="174" t="s">
        <v>98</v>
      </c>
      <c r="BK74" s="175">
        <v>0.65789473684210531</v>
      </c>
      <c r="BL74" s="175">
        <v>0.34210526315789475</v>
      </c>
      <c r="BM74" s="175">
        <v>0</v>
      </c>
      <c r="BN74" s="175">
        <v>106.38666666666667</v>
      </c>
      <c r="BO74" s="176">
        <v>8.5658725288145874</v>
      </c>
    </row>
    <row r="75" spans="1:81">
      <c r="H75">
        <v>1769.101005805634</v>
      </c>
      <c r="I75">
        <v>506.79318297778093</v>
      </c>
      <c r="J75">
        <v>1085.8139319553102</v>
      </c>
      <c r="N75" s="1"/>
      <c r="AF75" s="78" t="s">
        <v>102</v>
      </c>
      <c r="AG75" s="11" t="s">
        <v>51</v>
      </c>
      <c r="AJ75" s="7" t="s">
        <v>99</v>
      </c>
      <c r="AK75" s="27" t="s">
        <v>103</v>
      </c>
      <c r="AL75" s="27" t="s">
        <v>30</v>
      </c>
      <c r="AN75" s="29"/>
      <c r="AO75" s="29"/>
      <c r="AV75" s="29"/>
      <c r="AW75" s="79"/>
      <c r="AX75" s="79"/>
      <c r="BI75" s="174">
        <v>7</v>
      </c>
      <c r="BJ75" s="174" t="s">
        <v>98</v>
      </c>
      <c r="BK75" s="175">
        <v>0.80645161290322587</v>
      </c>
      <c r="BL75" s="175">
        <v>0.19354838709677419</v>
      </c>
      <c r="BM75" s="175">
        <v>0</v>
      </c>
      <c r="BN75" s="175">
        <v>105.45333333333333</v>
      </c>
      <c r="BO75" s="176">
        <v>7.110591027247632</v>
      </c>
    </row>
    <row r="76" spans="1:81">
      <c r="B76" s="12" t="s">
        <v>104</v>
      </c>
      <c r="C76" s="13"/>
      <c r="D76" s="14"/>
      <c r="F76" s="50">
        <v>0.48979096777502334</v>
      </c>
      <c r="G76" s="50"/>
      <c r="H76" s="152">
        <v>2132.267249349793</v>
      </c>
      <c r="I76" s="152">
        <v>6.306409804893919</v>
      </c>
      <c r="J76" s="152">
        <v>1227.0722332265495</v>
      </c>
      <c r="N76" s="1"/>
      <c r="AF76" s="11" t="s">
        <v>105</v>
      </c>
      <c r="AG76" s="128" t="e">
        <f>K65/K67</f>
        <v>#REF!</v>
      </c>
      <c r="AJ76" s="11">
        <v>2</v>
      </c>
      <c r="AK76" s="99">
        <v>392</v>
      </c>
      <c r="AL76" s="123">
        <v>78</v>
      </c>
      <c r="AN76" s="213"/>
      <c r="AO76" s="29"/>
      <c r="AV76" s="29"/>
      <c r="AW76" s="79"/>
      <c r="AX76" s="79"/>
      <c r="BI76" s="174">
        <v>8</v>
      </c>
      <c r="BJ76" s="174" t="s">
        <v>98</v>
      </c>
      <c r="BK76" s="175">
        <v>0.87719298245614041</v>
      </c>
      <c r="BL76" s="175">
        <v>0.12280701754385967</v>
      </c>
      <c r="BM76" s="175">
        <v>0</v>
      </c>
      <c r="BN76" s="175">
        <v>104.04</v>
      </c>
      <c r="BO76" s="176">
        <v>6.4175998360252713</v>
      </c>
    </row>
    <row r="77" spans="1:81">
      <c r="B77" s="4" t="s">
        <v>94</v>
      </c>
      <c r="C77" s="4" t="s">
        <v>0</v>
      </c>
      <c r="D77" s="4" t="s">
        <v>101</v>
      </c>
      <c r="F77" s="50">
        <v>0.13521912537420402</v>
      </c>
      <c r="G77" s="50"/>
      <c r="I77" s="152">
        <v>6.2164839970423236</v>
      </c>
      <c r="J77" s="152">
        <v>1255.6498250057255</v>
      </c>
      <c r="N77" s="1"/>
      <c r="AF77" s="11" t="s">
        <v>106</v>
      </c>
      <c r="AG77" s="128" t="e">
        <f>(I67*100+2.5*((AK76+AL76)-564)/94)/100</f>
        <v>#REF!</v>
      </c>
      <c r="AV77" s="29"/>
      <c r="AW77" s="79"/>
      <c r="AX77" s="79"/>
      <c r="BI77" s="174">
        <v>9</v>
      </c>
      <c r="BJ77" s="174" t="s">
        <v>98</v>
      </c>
      <c r="BK77" s="175">
        <v>0.75187969924812026</v>
      </c>
      <c r="BL77" s="175">
        <v>0.24812030075187969</v>
      </c>
      <c r="BM77" s="175">
        <v>0</v>
      </c>
      <c r="BN77" s="175">
        <v>108.66666666666667</v>
      </c>
      <c r="BO77" s="176">
        <v>7.6451842319048797</v>
      </c>
    </row>
    <row r="78" spans="1:81">
      <c r="B78" s="201">
        <f>B74/E74</f>
        <v>0.53778789982464659</v>
      </c>
      <c r="C78" s="201">
        <f>C74/E74</f>
        <v>2.9045613823149283E-2</v>
      </c>
      <c r="D78" s="201">
        <f>D74/E74</f>
        <v>0.43316648635220412</v>
      </c>
      <c r="E78" s="127">
        <f>SUM(B78:D78)</f>
        <v>1</v>
      </c>
      <c r="F78" s="50">
        <v>0.37781723640536363</v>
      </c>
      <c r="G78" s="50"/>
      <c r="N78" s="1"/>
      <c r="AV78" s="29"/>
      <c r="AW78" s="79"/>
      <c r="AX78" s="79"/>
      <c r="BI78" s="174">
        <v>10</v>
      </c>
      <c r="BJ78" s="174" t="s">
        <v>98</v>
      </c>
      <c r="BK78" s="175">
        <v>0.7246376811594204</v>
      </c>
      <c r="BL78" s="175">
        <v>0.27536231884057971</v>
      </c>
      <c r="BM78" s="175">
        <v>0</v>
      </c>
      <c r="BN78" s="175">
        <v>109.06666666666668</v>
      </c>
      <c r="BO78" s="176">
        <v>7.9120504049221863</v>
      </c>
    </row>
    <row r="79" spans="1:81">
      <c r="H79" s="152">
        <v>1166.6062049678781</v>
      </c>
      <c r="I79" s="152">
        <v>857.42869339389392</v>
      </c>
      <c r="J79" s="152">
        <v>1263.9572177672601</v>
      </c>
      <c r="AV79" s="29"/>
      <c r="AW79" s="79"/>
      <c r="AX79" s="79"/>
      <c r="BI79" s="174">
        <v>11</v>
      </c>
      <c r="BJ79" s="174" t="s">
        <v>98</v>
      </c>
      <c r="BK79" s="175">
        <v>0.69930069930069938</v>
      </c>
      <c r="BL79" s="175">
        <v>0.30069930069930073</v>
      </c>
      <c r="BM79" s="175">
        <v>0</v>
      </c>
      <c r="BN79" s="175">
        <v>108.96</v>
      </c>
      <c r="BO79" s="176">
        <v>8.1602546077984215</v>
      </c>
    </row>
    <row r="80" spans="1:81">
      <c r="H80" s="152">
        <v>1160.3832995847033</v>
      </c>
      <c r="I80" s="152">
        <v>833.21863251900015</v>
      </c>
      <c r="J80" s="152">
        <v>1385.5830953156512</v>
      </c>
      <c r="N80" s="2"/>
      <c r="AV80" s="29"/>
      <c r="AW80" s="79"/>
      <c r="AX80" s="79"/>
      <c r="BI80" s="174">
        <v>12</v>
      </c>
      <c r="BJ80" s="174" t="s">
        <v>98</v>
      </c>
      <c r="BK80" s="175">
        <v>0.67567567567567566</v>
      </c>
      <c r="BL80" s="175">
        <v>0.32432432432432434</v>
      </c>
      <c r="BM80" s="175">
        <v>0</v>
      </c>
      <c r="BN80" s="175">
        <v>110.45333333333333</v>
      </c>
      <c r="BO80" s="176">
        <v>8.3916882564262636</v>
      </c>
    </row>
    <row r="81" spans="1:81">
      <c r="B81" s="152">
        <v>1763.9584874851973</v>
      </c>
      <c r="C81" s="152">
        <v>95.270378980760867</v>
      </c>
      <c r="D81" s="152">
        <v>1420.7974934807066</v>
      </c>
      <c r="N81" s="49"/>
      <c r="AV81" s="29"/>
      <c r="AW81" s="79"/>
      <c r="AX81" s="79"/>
      <c r="BI81" s="174">
        <v>13</v>
      </c>
      <c r="BJ81" s="174" t="s">
        <v>98</v>
      </c>
      <c r="BK81" s="175">
        <v>0.65359477124183007</v>
      </c>
      <c r="BL81" s="175">
        <v>0.34640522875816993</v>
      </c>
      <c r="BM81" s="175">
        <v>0</v>
      </c>
      <c r="BN81" s="175">
        <v>110.53333333333335</v>
      </c>
      <c r="BO81" s="176">
        <v>8.6079955227908496</v>
      </c>
    </row>
    <row r="82" spans="1:81">
      <c r="N82" s="49"/>
      <c r="AV82" s="29"/>
      <c r="AW82" s="79"/>
      <c r="AX82" s="79"/>
      <c r="BI82" s="174">
        <v>14</v>
      </c>
      <c r="BJ82" s="174" t="s">
        <v>98</v>
      </c>
      <c r="BK82" s="175">
        <v>0.75187969924812026</v>
      </c>
      <c r="BL82" s="175">
        <v>0.24812030075187969</v>
      </c>
      <c r="BM82" s="175">
        <v>0</v>
      </c>
      <c r="BN82" s="175">
        <v>108.58666666666666</v>
      </c>
      <c r="BO82" s="176">
        <v>7.6451842319048797</v>
      </c>
    </row>
    <row r="83" spans="1:81">
      <c r="N83" s="49"/>
      <c r="AV83" s="29"/>
      <c r="AW83" s="79"/>
      <c r="AX83" s="79"/>
      <c r="BI83" s="174">
        <v>15</v>
      </c>
      <c r="BJ83" s="174" t="s">
        <v>98</v>
      </c>
      <c r="BK83" s="175">
        <v>0.7246376811594204</v>
      </c>
      <c r="BL83" s="175">
        <v>0.27536231884057971</v>
      </c>
      <c r="BM83" s="175">
        <v>0</v>
      </c>
      <c r="BN83" s="175">
        <v>112.05333333333334</v>
      </c>
      <c r="BO83" s="176">
        <v>7.9120504049221863</v>
      </c>
    </row>
    <row r="84" spans="1:81">
      <c r="N84" s="49"/>
      <c r="AV84" s="29"/>
      <c r="AW84" s="79"/>
      <c r="AX84" s="79"/>
      <c r="BI84" s="174">
        <v>16</v>
      </c>
      <c r="BJ84" s="174" t="s">
        <v>98</v>
      </c>
      <c r="BK84" s="175">
        <v>0.69930069930069938</v>
      </c>
      <c r="BL84" s="175">
        <v>0.30069930069930073</v>
      </c>
      <c r="BM84" s="175">
        <v>0</v>
      </c>
      <c r="BN84" s="175">
        <v>110.69333333333334</v>
      </c>
      <c r="BO84" s="176">
        <v>8.1602546077984215</v>
      </c>
    </row>
    <row r="85" spans="1:81">
      <c r="A85" s="7" t="s">
        <v>99</v>
      </c>
      <c r="B85" s="4" t="s">
        <v>100</v>
      </c>
      <c r="C85" s="4" t="s">
        <v>0</v>
      </c>
      <c r="D85" s="4" t="s">
        <v>101</v>
      </c>
      <c r="E85" s="4" t="s">
        <v>65</v>
      </c>
      <c r="H85" s="22"/>
      <c r="I85" s="6"/>
      <c r="J85" s="25" t="s">
        <v>107</v>
      </c>
      <c r="K85" s="15"/>
      <c r="N85" s="49"/>
      <c r="AV85" s="29"/>
      <c r="AW85" s="79"/>
      <c r="AX85" s="79"/>
      <c r="BI85" s="174">
        <v>17</v>
      </c>
      <c r="BJ85" s="174" t="s">
        <v>98</v>
      </c>
      <c r="BK85" s="175">
        <v>0.67567567567567566</v>
      </c>
      <c r="BL85" s="175">
        <v>0.32432432432432434</v>
      </c>
      <c r="BM85" s="175">
        <v>0</v>
      </c>
      <c r="BN85" s="175">
        <v>112.08</v>
      </c>
      <c r="BO85" s="176">
        <v>8.3916882564262636</v>
      </c>
    </row>
    <row r="86" spans="1:81" ht="27">
      <c r="A86" s="11">
        <v>7</v>
      </c>
      <c r="B86" s="5">
        <v>1503</v>
      </c>
      <c r="C86" s="5">
        <v>560</v>
      </c>
      <c r="D86" s="5">
        <v>1271</v>
      </c>
      <c r="E86" s="7">
        <f>B86+C86+D86</f>
        <v>3334</v>
      </c>
      <c r="H86" s="8" t="s">
        <v>1</v>
      </c>
      <c r="I86" s="23" t="s">
        <v>82</v>
      </c>
      <c r="J86" s="23" t="s">
        <v>83</v>
      </c>
      <c r="K86" s="23" t="s">
        <v>84</v>
      </c>
      <c r="N86" s="49"/>
      <c r="AV86" s="29"/>
      <c r="AW86" s="79"/>
      <c r="AX86" s="79"/>
      <c r="BI86" s="174">
        <v>18</v>
      </c>
      <c r="BJ86" s="174" t="s">
        <v>98</v>
      </c>
      <c r="BK86" s="175">
        <v>0.65359477124183007</v>
      </c>
      <c r="BL86" s="175">
        <v>0.34640522875816993</v>
      </c>
      <c r="BM86" s="175">
        <v>0</v>
      </c>
      <c r="BN86" s="175">
        <v>111.44000000000001</v>
      </c>
      <c r="BO86" s="176">
        <v>8.6079955227908496</v>
      </c>
    </row>
    <row r="87" spans="1:81">
      <c r="H87" s="19">
        <v>1.5</v>
      </c>
      <c r="I87" s="88" t="e">
        <f>B$90*'Mix Design'!#REF!+'Mix Design'!#REF!*C$90+D$90*'Mix Design'!#REF!</f>
        <v>#REF!</v>
      </c>
      <c r="J87" s="89" t="e">
        <f>1-I87</f>
        <v>#REF!</v>
      </c>
      <c r="K87" s="58" t="e">
        <f>J87</f>
        <v>#REF!</v>
      </c>
      <c r="AV87" s="29"/>
      <c r="AW87" s="79"/>
      <c r="AX87" s="79"/>
      <c r="BI87" s="174">
        <v>20</v>
      </c>
      <c r="BJ87" s="174" t="s">
        <v>98</v>
      </c>
      <c r="BK87" s="177">
        <v>0.86</v>
      </c>
      <c r="BL87" s="177">
        <v>0.14000000000000001</v>
      </c>
      <c r="BM87" s="175">
        <v>0</v>
      </c>
      <c r="BN87" s="175">
        <v>106.61333333333334</v>
      </c>
      <c r="BO87" s="176">
        <v>6.5860244151399527</v>
      </c>
    </row>
    <row r="88" spans="1:81">
      <c r="B88" s="12" t="s">
        <v>104</v>
      </c>
      <c r="C88" s="13"/>
      <c r="D88" s="14"/>
      <c r="H88" s="19">
        <v>1</v>
      </c>
      <c r="I88" s="88" t="e">
        <f>B$90*'Mix Design'!#REF!+'Mix Design'!#REF!*C$90+D$90*'Mix Design'!#REF!</f>
        <v>#REF!</v>
      </c>
      <c r="J88" s="64" t="e">
        <f>I87-I88</f>
        <v>#REF!</v>
      </c>
      <c r="K88" s="59" t="e">
        <f>J87+J88</f>
        <v>#REF!</v>
      </c>
      <c r="L88" s="29"/>
      <c r="BI88" s="174">
        <v>21</v>
      </c>
      <c r="BJ88" s="174" t="s">
        <v>98</v>
      </c>
      <c r="BK88" s="178">
        <v>0.76</v>
      </c>
      <c r="BL88" s="179">
        <v>0.24</v>
      </c>
      <c r="BM88" s="175">
        <v>0</v>
      </c>
      <c r="BN88" s="175">
        <v>108</v>
      </c>
      <c r="BO88" s="176">
        <v>7.5656367630518817</v>
      </c>
    </row>
    <row r="89" spans="1:81">
      <c r="B89" s="4" t="s">
        <v>94</v>
      </c>
      <c r="C89" s="4" t="s">
        <v>0</v>
      </c>
      <c r="D89" s="4" t="s">
        <v>101</v>
      </c>
      <c r="H89" s="19">
        <v>0.75</v>
      </c>
      <c r="I89" s="88" t="e">
        <f>B$90*'Mix Design'!#REF!+'Mix Design'!#REF!*C$90+D$90*'Mix Design'!#REF!</f>
        <v>#REF!</v>
      </c>
      <c r="J89" s="64" t="e">
        <f t="shared" ref="J89:J98" si="4">I88-I89</f>
        <v>#REF!</v>
      </c>
      <c r="K89" s="59" t="e">
        <f>J88+J89</f>
        <v>#REF!</v>
      </c>
      <c r="L89" s="29"/>
      <c r="BI89" s="174">
        <v>22</v>
      </c>
      <c r="BJ89" s="174" t="s">
        <v>98</v>
      </c>
      <c r="BK89" s="175">
        <v>0.66999999999999993</v>
      </c>
      <c r="BL89" s="175">
        <v>0.33</v>
      </c>
      <c r="BM89" s="175">
        <v>0</v>
      </c>
      <c r="BN89" s="175">
        <v>110.45333333333333</v>
      </c>
      <c r="BO89" s="176">
        <v>8.4472878761726164</v>
      </c>
    </row>
    <row r="90" spans="1:81">
      <c r="B90" s="77">
        <f>B86/E86</f>
        <v>0.4508098380323935</v>
      </c>
      <c r="C90" s="77">
        <f>C86/E86</f>
        <v>0.16796640671865626</v>
      </c>
      <c r="D90" s="77">
        <f>D86/E86</f>
        <v>0.38122375524895019</v>
      </c>
      <c r="H90" s="19">
        <v>0.5</v>
      </c>
      <c r="I90" s="88" t="e">
        <f>B$90*'Mix Design'!#REF!+'Mix Design'!#REF!*C$90+D$90*'Mix Design'!#REF!</f>
        <v>#REF!</v>
      </c>
      <c r="J90" s="64" t="e">
        <f t="shared" si="4"/>
        <v>#REF!</v>
      </c>
      <c r="K90" s="59" t="e">
        <f>K89+J90</f>
        <v>#REF!</v>
      </c>
      <c r="L90" s="29"/>
      <c r="BI90" s="174">
        <v>23</v>
      </c>
      <c r="BJ90" s="174" t="s">
        <v>98</v>
      </c>
      <c r="BK90" s="175">
        <v>0.64</v>
      </c>
      <c r="BL90" s="175">
        <v>0.36</v>
      </c>
      <c r="BM90" s="175">
        <v>0</v>
      </c>
      <c r="BN90" s="175">
        <v>108.93333333333334</v>
      </c>
      <c r="BO90" s="176">
        <v>8.741171580546192</v>
      </c>
    </row>
    <row r="91" spans="1:81">
      <c r="H91" s="7">
        <v>0.375</v>
      </c>
      <c r="I91" s="88" t="e">
        <f>B$90*'Mix Design'!#REF!+'Mix Design'!#REF!*C$90+D$90*'Mix Design'!#REF!</f>
        <v>#REF!</v>
      </c>
      <c r="J91" s="64" t="e">
        <f t="shared" si="4"/>
        <v>#REF!</v>
      </c>
      <c r="K91" s="87" t="e">
        <f t="shared" ref="K91:K98" si="5">K90+J91</f>
        <v>#REF!</v>
      </c>
      <c r="L91" s="29"/>
      <c r="BI91" s="174">
        <v>24</v>
      </c>
      <c r="BJ91" s="174" t="s">
        <v>98</v>
      </c>
      <c r="BK91" s="175">
        <v>0.62</v>
      </c>
      <c r="BL91" s="175">
        <v>0.38</v>
      </c>
      <c r="BM91" s="175">
        <v>0</v>
      </c>
      <c r="BN91" s="175">
        <v>108.32000000000001</v>
      </c>
      <c r="BO91" s="176">
        <v>8.9370940501285805</v>
      </c>
    </row>
    <row r="92" spans="1:81">
      <c r="H92" s="20" t="s">
        <v>11</v>
      </c>
      <c r="I92" s="88" t="e">
        <f>B$90*'Mix Design'!#REF!+'Mix Design'!#REF!*C$90+D$90*'Mix Design'!#REF!</f>
        <v>#REF!</v>
      </c>
      <c r="J92" s="64" t="e">
        <f t="shared" si="4"/>
        <v>#REF!</v>
      </c>
      <c r="K92" s="59" t="e">
        <f t="shared" si="5"/>
        <v>#REF!</v>
      </c>
      <c r="BI92" s="174">
        <v>25</v>
      </c>
      <c r="BJ92" s="174" t="s">
        <v>98</v>
      </c>
      <c r="BK92" s="175">
        <v>0.57000000000000006</v>
      </c>
      <c r="BL92" s="175">
        <v>0.43</v>
      </c>
      <c r="BM92" s="175">
        <v>0</v>
      </c>
      <c r="BN92" s="175">
        <v>109.60000000000002</v>
      </c>
      <c r="BO92" s="176">
        <v>9.4269002240845445</v>
      </c>
    </row>
    <row r="93" spans="1:81">
      <c r="H93" s="21" t="s">
        <v>12</v>
      </c>
      <c r="I93" s="108" t="e">
        <f>B$90*'Mix Design'!#REF!+'Mix Design'!#REF!*C$90+D$90*'Mix Design'!#REF!</f>
        <v>#REF!</v>
      </c>
      <c r="J93" s="64" t="e">
        <f t="shared" si="4"/>
        <v>#REF!</v>
      </c>
      <c r="K93" s="87" t="e">
        <f t="shared" si="5"/>
        <v>#REF!</v>
      </c>
      <c r="BI93" s="174">
        <v>26</v>
      </c>
      <c r="BJ93" s="174" t="s">
        <v>98</v>
      </c>
      <c r="BK93" s="175">
        <v>0.52</v>
      </c>
      <c r="BL93" s="175">
        <v>0.48</v>
      </c>
      <c r="BM93" s="175">
        <v>0</v>
      </c>
      <c r="BN93" s="175">
        <v>109.36000000000001</v>
      </c>
      <c r="BO93" s="176">
        <v>9.9167063980405086</v>
      </c>
    </row>
    <row r="94" spans="1:81">
      <c r="H94" s="21" t="s">
        <v>13</v>
      </c>
      <c r="I94" s="88" t="e">
        <f>B$90*'Mix Design'!C46+'Mix Design'!#REF!*C$90+D$90*'Mix Design'!#REF!</f>
        <v>#REF!</v>
      </c>
      <c r="J94" s="64" t="e">
        <f t="shared" si="4"/>
        <v>#REF!</v>
      </c>
      <c r="K94" s="59" t="e">
        <f t="shared" si="5"/>
        <v>#REF!</v>
      </c>
      <c r="BI94" s="174">
        <v>27</v>
      </c>
      <c r="BJ94" s="174" t="s">
        <v>98</v>
      </c>
      <c r="BK94" s="175">
        <v>0.48</v>
      </c>
      <c r="BL94" s="175">
        <v>0.52</v>
      </c>
      <c r="BM94" s="175">
        <v>0</v>
      </c>
      <c r="BN94" s="175">
        <v>111.68</v>
      </c>
      <c r="BO94" s="176">
        <v>10.308551337205278</v>
      </c>
      <c r="BX94" t="s">
        <v>108</v>
      </c>
    </row>
    <row r="95" spans="1:81" ht="15" thickBot="1">
      <c r="H95" s="21" t="s">
        <v>14</v>
      </c>
      <c r="I95" s="88" t="e">
        <f>B$90*'Mix Design'!C47+'Mix Design'!#REF!*C$90+D$90*'Mix Design'!#REF!</f>
        <v>#REF!</v>
      </c>
      <c r="J95" s="64" t="e">
        <f t="shared" si="4"/>
        <v>#REF!</v>
      </c>
      <c r="K95" s="59" t="e">
        <f t="shared" si="5"/>
        <v>#REF!</v>
      </c>
      <c r="BI95" s="180">
        <v>2</v>
      </c>
      <c r="BJ95" s="180" t="s">
        <v>100</v>
      </c>
      <c r="BK95" s="181">
        <v>1</v>
      </c>
      <c r="BL95" s="181">
        <v>0</v>
      </c>
      <c r="BM95" s="181">
        <v>0</v>
      </c>
      <c r="BN95" s="181">
        <v>100.85333333333335</v>
      </c>
      <c r="BO95" s="182">
        <v>5.214567128063254</v>
      </c>
    </row>
    <row r="96" spans="1:81" ht="19" thickTop="1" thickBot="1">
      <c r="H96" s="21" t="s">
        <v>15</v>
      </c>
      <c r="I96" s="88" t="e">
        <f>B$90*'Mix Design'!C48+'Mix Design'!#REF!*C$90+D$90*'Mix Design'!#REF!</f>
        <v>#REF!</v>
      </c>
      <c r="J96" s="64" t="e">
        <f t="shared" si="4"/>
        <v>#REF!</v>
      </c>
      <c r="K96" s="59" t="e">
        <f t="shared" si="5"/>
        <v>#REF!</v>
      </c>
      <c r="BI96" s="180">
        <v>19</v>
      </c>
      <c r="BJ96" s="180" t="s">
        <v>100</v>
      </c>
      <c r="BK96" s="181">
        <v>1</v>
      </c>
      <c r="BL96" s="181">
        <v>0</v>
      </c>
      <c r="BM96" s="181">
        <v>0</v>
      </c>
      <c r="BN96" s="181">
        <v>105.04</v>
      </c>
      <c r="BO96" s="182">
        <v>5.214567128063254</v>
      </c>
      <c r="BX96" s="347"/>
      <c r="BY96" s="348"/>
      <c r="BZ96" s="348"/>
      <c r="CA96" s="349"/>
      <c r="CB96" s="350"/>
      <c r="CC96" s="350"/>
    </row>
    <row r="97" spans="1:81" ht="18">
      <c r="H97" s="21" t="s">
        <v>16</v>
      </c>
      <c r="I97" s="88" t="e">
        <f>B$90*'Mix Design'!C49+'Mix Design'!#REF!*C$90+D$90*'Mix Design'!#REF!</f>
        <v>#REF!</v>
      </c>
      <c r="J97" s="64" t="e">
        <f t="shared" si="4"/>
        <v>#REF!</v>
      </c>
      <c r="K97" s="59" t="e">
        <f t="shared" si="5"/>
        <v>#REF!</v>
      </c>
      <c r="BI97" s="183">
        <v>3</v>
      </c>
      <c r="BJ97" s="183" t="s">
        <v>0</v>
      </c>
      <c r="BK97" s="184">
        <v>0</v>
      </c>
      <c r="BL97" s="184">
        <v>1</v>
      </c>
      <c r="BM97" s="184">
        <v>0</v>
      </c>
      <c r="BN97" s="184">
        <v>101.89333333333333</v>
      </c>
      <c r="BO97" s="185">
        <v>15.010690607182534</v>
      </c>
      <c r="BX97" s="361"/>
      <c r="BY97" s="351"/>
      <c r="BZ97" s="351"/>
      <c r="CA97" s="351"/>
      <c r="CB97" s="367"/>
      <c r="CC97" s="367"/>
    </row>
    <row r="98" spans="1:81" ht="17.5">
      <c r="H98" s="21" t="s">
        <v>17</v>
      </c>
      <c r="I98" s="88" t="e">
        <f>B$90*'Mix Design'!#REF!+'Mix Design'!#REF!*C$90+D$90*'Mix Design'!#REF!</f>
        <v>#REF!</v>
      </c>
      <c r="J98" s="64" t="e">
        <f t="shared" si="4"/>
        <v>#REF!</v>
      </c>
      <c r="K98" s="82" t="e">
        <f t="shared" si="5"/>
        <v>#REF!</v>
      </c>
      <c r="BI98" s="183">
        <v>28</v>
      </c>
      <c r="BJ98" s="183" t="s">
        <v>0</v>
      </c>
      <c r="BK98" s="184">
        <v>0</v>
      </c>
      <c r="BL98" s="184">
        <v>1</v>
      </c>
      <c r="BM98" s="184">
        <v>0</v>
      </c>
      <c r="BN98" s="184">
        <v>106</v>
      </c>
      <c r="BO98" s="185">
        <v>15.010690607182534</v>
      </c>
      <c r="BX98" s="353"/>
      <c r="BY98" s="354"/>
      <c r="BZ98" s="354"/>
      <c r="CA98" s="354"/>
      <c r="CB98" s="367"/>
      <c r="CC98" s="367"/>
    </row>
    <row r="99" spans="1:81" ht="17.5">
      <c r="BI99" s="186">
        <v>4</v>
      </c>
      <c r="BJ99" s="186" t="s">
        <v>101</v>
      </c>
      <c r="BK99" s="187">
        <v>0</v>
      </c>
      <c r="BL99" s="187">
        <v>0</v>
      </c>
      <c r="BM99" s="187">
        <v>1</v>
      </c>
      <c r="BN99" s="187">
        <v>111.76</v>
      </c>
      <c r="BO99" s="188">
        <v>50.701540474337186</v>
      </c>
      <c r="BX99" s="353"/>
      <c r="BY99" s="354"/>
      <c r="BZ99" s="354"/>
      <c r="CA99" s="354"/>
      <c r="CB99" s="367"/>
      <c r="CC99" s="367"/>
    </row>
    <row r="100" spans="1:81" ht="17.5">
      <c r="BI100" s="189">
        <v>33</v>
      </c>
      <c r="BJ100" s="189" t="s">
        <v>109</v>
      </c>
      <c r="BK100" s="190">
        <v>0.48447478528958382</v>
      </c>
      <c r="BL100" s="190">
        <v>0.19951552521471044</v>
      </c>
      <c r="BM100" s="190">
        <v>0.31490861043822949</v>
      </c>
      <c r="BN100" s="190">
        <v>132.02666666666667</v>
      </c>
      <c r="BO100" s="191">
        <v>21.489745926040243</v>
      </c>
      <c r="BX100" s="353"/>
      <c r="BY100" s="354"/>
      <c r="BZ100" s="354"/>
      <c r="CA100" s="354"/>
      <c r="CB100" s="367"/>
      <c r="CC100" s="367"/>
    </row>
    <row r="101" spans="1:81" ht="17.5">
      <c r="BI101" s="189">
        <v>32</v>
      </c>
      <c r="BJ101" s="189" t="s">
        <v>109</v>
      </c>
      <c r="BK101" s="190">
        <v>0.48479506390480392</v>
      </c>
      <c r="BL101" s="190">
        <v>0.16923754958131337</v>
      </c>
      <c r="BM101" s="190">
        <v>0.34596738651388281</v>
      </c>
      <c r="BN101" s="190">
        <v>133.65333333333334</v>
      </c>
      <c r="BO101" s="191">
        <v>22.609448350102411</v>
      </c>
      <c r="BX101" s="353"/>
      <c r="BY101" s="354"/>
      <c r="BZ101" s="354"/>
      <c r="CA101" s="354"/>
      <c r="CB101" s="367"/>
      <c r="CC101" s="367"/>
    </row>
    <row r="102" spans="1:81" ht="18" thickBot="1">
      <c r="AF102" s="22" t="s">
        <v>102</v>
      </c>
      <c r="AG102" s="11" t="s">
        <v>51</v>
      </c>
      <c r="AJ102" s="11" t="s">
        <v>99</v>
      </c>
      <c r="AK102" s="27" t="s">
        <v>103</v>
      </c>
      <c r="AL102" s="27" t="s">
        <v>30</v>
      </c>
      <c r="BI102" s="192">
        <v>30</v>
      </c>
      <c r="BJ102" s="192" t="s">
        <v>109</v>
      </c>
      <c r="BK102" s="193">
        <v>0.45372050816696918</v>
      </c>
      <c r="BL102" s="193">
        <v>0.19918330308529944</v>
      </c>
      <c r="BM102" s="193">
        <v>0.3470961887477314</v>
      </c>
      <c r="BN102" s="193">
        <v>131.49333333333334</v>
      </c>
      <c r="BO102" s="138">
        <v>22.954146446227011</v>
      </c>
      <c r="BX102" s="353"/>
      <c r="BY102" s="354"/>
      <c r="BZ102" s="354"/>
      <c r="CA102" s="354"/>
      <c r="CB102" s="367"/>
      <c r="CC102" s="367"/>
    </row>
    <row r="103" spans="1:81" ht="18" thickBot="1">
      <c r="AF103" s="11" t="s">
        <v>105</v>
      </c>
      <c r="AG103" s="77" t="e">
        <f>K91/K93</f>
        <v>#REF!</v>
      </c>
      <c r="AJ103" s="11">
        <v>7</v>
      </c>
      <c r="AK103" s="28">
        <v>290.22500000000002</v>
      </c>
      <c r="AL103" s="7">
        <v>156.27500000000001</v>
      </c>
      <c r="BI103" s="194">
        <v>34</v>
      </c>
      <c r="BJ103" s="195" t="s">
        <v>109</v>
      </c>
      <c r="BK103" s="196">
        <v>0.48447478528958382</v>
      </c>
      <c r="BL103" s="196">
        <v>0.13895617705351243</v>
      </c>
      <c r="BM103" s="196">
        <v>0.3765690376569038</v>
      </c>
      <c r="BN103" s="196">
        <v>136.08000000000001</v>
      </c>
      <c r="BO103" s="197">
        <v>23.704784775597435</v>
      </c>
      <c r="BX103" s="355"/>
      <c r="BY103" s="354"/>
      <c r="BZ103" s="354"/>
      <c r="CA103" s="354"/>
      <c r="CB103" s="367"/>
      <c r="CC103" s="367"/>
    </row>
    <row r="104" spans="1:81" ht="17.5">
      <c r="AF104" s="11" t="s">
        <v>106</v>
      </c>
      <c r="AG104" s="77" t="e">
        <f>(I93*100+2.5*((AK103+AL103)-564)/94)/100</f>
        <v>#REF!</v>
      </c>
      <c r="BI104" s="198">
        <v>29</v>
      </c>
      <c r="BJ104" s="198" t="s">
        <v>109</v>
      </c>
      <c r="BK104" s="199">
        <v>0.45392646391284608</v>
      </c>
      <c r="BL104" s="199">
        <v>0.1693145710394916</v>
      </c>
      <c r="BM104" s="199">
        <v>0.37675896504766226</v>
      </c>
      <c r="BN104" s="199">
        <v>131.09333333333333</v>
      </c>
      <c r="BO104" s="141">
        <v>24.010818573872992</v>
      </c>
      <c r="BQ104" s="214"/>
      <c r="BR104" s="214"/>
      <c r="BS104" s="214"/>
      <c r="BX104" s="355"/>
      <c r="BY104" s="354"/>
      <c r="BZ104" s="354"/>
      <c r="CA104" s="354"/>
      <c r="CB104" s="367"/>
      <c r="CC104" s="367"/>
    </row>
    <row r="105" spans="1:81" ht="17.5">
      <c r="T105" s="29"/>
      <c r="X105" s="80"/>
      <c r="Y105" s="80"/>
      <c r="BI105" s="189">
        <v>43</v>
      </c>
      <c r="BJ105" s="189" t="s">
        <v>109</v>
      </c>
      <c r="BK105" s="190">
        <v>0.42390843577787196</v>
      </c>
      <c r="BL105" s="190">
        <v>0.19923696481559983</v>
      </c>
      <c r="BM105" s="190">
        <v>0.37685459940652821</v>
      </c>
      <c r="BN105" s="190">
        <v>130.16</v>
      </c>
      <c r="BO105" s="191">
        <v>24.308292155627306</v>
      </c>
      <c r="BX105" s="355"/>
      <c r="BY105" s="354"/>
      <c r="BZ105" s="354"/>
      <c r="CA105" s="354"/>
      <c r="CB105" s="367"/>
      <c r="CC105" s="367"/>
    </row>
    <row r="106" spans="1:81" ht="17.5">
      <c r="S106" s="29"/>
      <c r="T106" s="73"/>
      <c r="X106" s="81"/>
      <c r="BI106" s="189">
        <v>37</v>
      </c>
      <c r="BJ106" s="189" t="s">
        <v>109</v>
      </c>
      <c r="BK106" s="190">
        <v>0.42372881355932202</v>
      </c>
      <c r="BL106" s="190">
        <v>0.19915254237288135</v>
      </c>
      <c r="BM106" s="190">
        <v>0.3771186440677966</v>
      </c>
      <c r="BN106" s="190">
        <v>134.66666666666669</v>
      </c>
      <c r="BO106" s="191">
        <v>24.319475735423367</v>
      </c>
      <c r="BX106" s="355"/>
      <c r="BY106" s="354"/>
      <c r="BZ106" s="354"/>
      <c r="CA106" s="354"/>
      <c r="CB106" s="367"/>
      <c r="CC106" s="367"/>
    </row>
    <row r="107" spans="1:81" ht="17.5">
      <c r="S107" s="29"/>
      <c r="T107" s="73"/>
      <c r="BI107" s="189">
        <v>31</v>
      </c>
      <c r="BJ107" s="189" t="s">
        <v>109</v>
      </c>
      <c r="BK107" s="190">
        <v>0.4533091568449682</v>
      </c>
      <c r="BL107" s="190">
        <v>0.13871260199456029</v>
      </c>
      <c r="BM107" s="190">
        <v>0.40797824116047138</v>
      </c>
      <c r="BN107" s="190">
        <v>132.48000000000002</v>
      </c>
      <c r="BO107" s="191">
        <v>25.131108286837978</v>
      </c>
      <c r="BX107" s="355"/>
      <c r="BY107" s="354"/>
      <c r="BZ107" s="354"/>
      <c r="CA107" s="354"/>
      <c r="CB107" s="367"/>
      <c r="CC107" s="367"/>
    </row>
    <row r="108" spans="1:81" ht="18" thickBot="1">
      <c r="BI108" s="189">
        <v>35</v>
      </c>
      <c r="BJ108" s="189" t="s">
        <v>109</v>
      </c>
      <c r="BK108" s="190">
        <v>0.42390843577787196</v>
      </c>
      <c r="BL108" s="190">
        <v>0.16913946587537093</v>
      </c>
      <c r="BM108" s="190">
        <v>0.40695209834675711</v>
      </c>
      <c r="BN108" s="190">
        <v>135.62666666666669</v>
      </c>
      <c r="BO108" s="191">
        <v>25.382497471679859</v>
      </c>
      <c r="BX108" s="356"/>
      <c r="BY108" s="354"/>
      <c r="BZ108" s="354"/>
      <c r="CA108" s="354"/>
      <c r="CB108" s="367"/>
      <c r="CC108" s="367"/>
    </row>
    <row r="109" spans="1:81" ht="15" thickTop="1">
      <c r="BI109" s="189">
        <v>36</v>
      </c>
      <c r="BJ109" s="189" t="s">
        <v>109</v>
      </c>
      <c r="BK109" s="190">
        <v>0.42337002540220159</v>
      </c>
      <c r="BL109" s="190">
        <v>0.1384419983065199</v>
      </c>
      <c r="BM109" s="190">
        <v>0.43818797629127859</v>
      </c>
      <c r="BN109" s="190">
        <v>134.69333333333336</v>
      </c>
      <c r="BO109" s="191">
        <v>26.502606836389056</v>
      </c>
    </row>
    <row r="110" spans="1:81">
      <c r="BI110" s="200">
        <v>39</v>
      </c>
      <c r="BJ110" s="200" t="s">
        <v>110</v>
      </c>
      <c r="BK110" s="201">
        <v>0.61085972850678727</v>
      </c>
      <c r="BL110" s="201">
        <v>0</v>
      </c>
      <c r="BM110" s="201">
        <v>0.38914027149321262</v>
      </c>
      <c r="BN110" s="201">
        <v>133.14666666666668</v>
      </c>
      <c r="BO110" s="202">
        <v>22.915380285436818</v>
      </c>
    </row>
    <row r="111" spans="1:81" ht="15" thickBot="1">
      <c r="H111" s="26" t="s">
        <v>80</v>
      </c>
      <c r="I111" s="24"/>
      <c r="J111" s="24"/>
      <c r="K111" s="15"/>
      <c r="BI111" s="203">
        <v>38</v>
      </c>
      <c r="BJ111" s="203" t="s">
        <v>110</v>
      </c>
      <c r="BK111" s="204">
        <v>0.59734513274336276</v>
      </c>
      <c r="BL111" s="204">
        <v>0</v>
      </c>
      <c r="BM111" s="204">
        <v>0.40265486725663713</v>
      </c>
      <c r="BN111" s="204">
        <v>133.81333333333333</v>
      </c>
      <c r="BO111" s="205">
        <v>23.530118342713376</v>
      </c>
    </row>
    <row r="112" spans="1:81" ht="15" thickBot="1">
      <c r="A112" s="7" t="s">
        <v>99</v>
      </c>
      <c r="B112" s="4" t="s">
        <v>100</v>
      </c>
      <c r="C112" s="4" t="s">
        <v>0</v>
      </c>
      <c r="D112" s="4" t="s">
        <v>101</v>
      </c>
      <c r="E112" s="4" t="s">
        <v>65</v>
      </c>
      <c r="H112" s="22"/>
      <c r="I112" s="6"/>
      <c r="J112" s="25" t="s">
        <v>111</v>
      </c>
      <c r="K112" s="15"/>
      <c r="BI112" s="206">
        <v>40</v>
      </c>
      <c r="BJ112" s="207" t="s">
        <v>110</v>
      </c>
      <c r="BK112" s="208">
        <v>0.5818965517241379</v>
      </c>
      <c r="BL112" s="208">
        <v>0</v>
      </c>
      <c r="BM112" s="208">
        <v>0.41810344827586204</v>
      </c>
      <c r="BN112" s="208">
        <v>136.66666666666666</v>
      </c>
      <c r="BO112" s="209">
        <v>24.232827535772618</v>
      </c>
    </row>
    <row r="113" spans="1:67" ht="27">
      <c r="A113" s="11">
        <v>10</v>
      </c>
      <c r="B113" s="5">
        <v>1503</v>
      </c>
      <c r="C113" s="5">
        <v>560</v>
      </c>
      <c r="D113" s="5">
        <v>1260</v>
      </c>
      <c r="E113" s="7">
        <f>B113+C113+D113</f>
        <v>3323</v>
      </c>
      <c r="H113" s="8" t="s">
        <v>1</v>
      </c>
      <c r="I113" s="23" t="s">
        <v>82</v>
      </c>
      <c r="J113" s="23" t="s">
        <v>83</v>
      </c>
      <c r="K113" s="23" t="s">
        <v>84</v>
      </c>
      <c r="BI113" s="210">
        <v>41</v>
      </c>
      <c r="BJ113" s="210" t="s">
        <v>110</v>
      </c>
      <c r="BK113" s="211">
        <v>0.56657223796033995</v>
      </c>
      <c r="BL113" s="211">
        <v>0</v>
      </c>
      <c r="BM113" s="211">
        <v>0.43342776203966005</v>
      </c>
      <c r="BN113" s="211">
        <v>135.22666666666669</v>
      </c>
      <c r="BO113" s="212">
        <v>24.929884187496437</v>
      </c>
    </row>
    <row r="114" spans="1:67">
      <c r="H114" s="19">
        <v>1.5</v>
      </c>
      <c r="I114" s="88" t="e">
        <f>B$116*'Mix Design'!#REF!+'Mix Design'!#REF!*C$116+D$116*'Mix Design'!#REF!</f>
        <v>#REF!</v>
      </c>
      <c r="J114" s="89" t="e">
        <f>1-I114</f>
        <v>#REF!</v>
      </c>
      <c r="K114" s="58" t="e">
        <f>J114</f>
        <v>#REF!</v>
      </c>
      <c r="BI114" s="200">
        <v>42</v>
      </c>
      <c r="BJ114" s="200" t="s">
        <v>110</v>
      </c>
      <c r="BK114" s="201">
        <v>0.5524861878453039</v>
      </c>
      <c r="BL114" s="201">
        <v>0</v>
      </c>
      <c r="BM114" s="201">
        <v>0.44751381215469616</v>
      </c>
      <c r="BN114" s="201">
        <v>135.76000000000002</v>
      </c>
      <c r="BO114" s="202">
        <v>25.570615973633362</v>
      </c>
    </row>
    <row r="115" spans="1:67">
      <c r="B115" s="45" t="s">
        <v>104</v>
      </c>
      <c r="C115" s="46"/>
      <c r="D115" s="47"/>
      <c r="H115" s="19">
        <v>1</v>
      </c>
      <c r="I115" s="88" t="e">
        <f>B$116*'Mix Design'!#REF!+'Mix Design'!#REF!*C$116+D$116*'Mix Design'!#REF!</f>
        <v>#REF!</v>
      </c>
      <c r="J115" s="64" t="e">
        <f>I114-I115</f>
        <v>#REF!</v>
      </c>
      <c r="K115" s="59" t="e">
        <f>J114+J115</f>
        <v>#REF!</v>
      </c>
    </row>
    <row r="116" spans="1:67">
      <c r="B116" s="145">
        <f>B113/E113</f>
        <v>0.45230213662353297</v>
      </c>
      <c r="C116" s="145">
        <f>C113/E113</f>
        <v>0.16852241950045141</v>
      </c>
      <c r="D116" s="145">
        <f>D113/E113</f>
        <v>0.37917544387601565</v>
      </c>
      <c r="H116" s="19">
        <v>0.75</v>
      </c>
      <c r="I116" s="88" t="e">
        <f>B$116*'Mix Design'!#REF!+'Mix Design'!#REF!*C$116+D$116*'Mix Design'!#REF!</f>
        <v>#REF!</v>
      </c>
      <c r="J116" s="64" t="e">
        <f t="shared" ref="J116:J125" si="6">I115-I116</f>
        <v>#REF!</v>
      </c>
      <c r="K116" s="59" t="e">
        <f>J115+J116</f>
        <v>#REF!</v>
      </c>
    </row>
    <row r="117" spans="1:67">
      <c r="H117" s="19">
        <v>0.5</v>
      </c>
      <c r="I117" s="88" t="e">
        <f>B$116*'Mix Design'!#REF!+'Mix Design'!#REF!*C$116+D$116*'Mix Design'!#REF!</f>
        <v>#REF!</v>
      </c>
      <c r="J117" s="64" t="e">
        <f t="shared" si="6"/>
        <v>#REF!</v>
      </c>
      <c r="K117" s="59" t="e">
        <f t="shared" ref="K117:K125" si="7">K116+J117</f>
        <v>#REF!</v>
      </c>
    </row>
    <row r="118" spans="1:67">
      <c r="H118" s="7">
        <v>0.375</v>
      </c>
      <c r="I118" s="88" t="e">
        <f>B$116*'Mix Design'!#REF!+'Mix Design'!#REF!*C$116+D$116*'Mix Design'!#REF!</f>
        <v>#REF!</v>
      </c>
      <c r="J118" s="64" t="e">
        <f t="shared" si="6"/>
        <v>#REF!</v>
      </c>
      <c r="K118" s="87" t="e">
        <f t="shared" si="7"/>
        <v>#REF!</v>
      </c>
    </row>
    <row r="119" spans="1:67">
      <c r="H119" s="20" t="s">
        <v>11</v>
      </c>
      <c r="I119" s="88" t="e">
        <f>B$116*'Mix Design'!#REF!+'Mix Design'!#REF!*C$116+D$116*'Mix Design'!#REF!</f>
        <v>#REF!</v>
      </c>
      <c r="J119" s="64" t="e">
        <f t="shared" si="6"/>
        <v>#REF!</v>
      </c>
      <c r="K119" s="59" t="e">
        <f t="shared" si="7"/>
        <v>#REF!</v>
      </c>
    </row>
    <row r="120" spans="1:67">
      <c r="H120" s="21" t="s">
        <v>12</v>
      </c>
      <c r="I120" s="108" t="e">
        <f>B$116*'Mix Design'!#REF!+'Mix Design'!#REF!*C$116+D$116*'Mix Design'!#REF!</f>
        <v>#REF!</v>
      </c>
      <c r="J120" s="64" t="e">
        <f t="shared" si="6"/>
        <v>#REF!</v>
      </c>
      <c r="K120" s="87" t="e">
        <f t="shared" si="7"/>
        <v>#REF!</v>
      </c>
    </row>
    <row r="121" spans="1:67">
      <c r="H121" s="21" t="s">
        <v>13</v>
      </c>
      <c r="I121" s="88" t="e">
        <f>B$116*'Mix Design'!C46+'Mix Design'!#REF!*C$116+D$116*'Mix Design'!#REF!</f>
        <v>#REF!</v>
      </c>
      <c r="J121" s="64" t="e">
        <f t="shared" si="6"/>
        <v>#REF!</v>
      </c>
      <c r="K121" s="59" t="e">
        <f t="shared" si="7"/>
        <v>#REF!</v>
      </c>
    </row>
    <row r="122" spans="1:67">
      <c r="H122" s="21" t="s">
        <v>14</v>
      </c>
      <c r="I122" s="88" t="e">
        <f>B$116*'Mix Design'!C47+'Mix Design'!#REF!*C$116+D$116*'Mix Design'!#REF!</f>
        <v>#REF!</v>
      </c>
      <c r="J122" s="64" t="e">
        <f t="shared" si="6"/>
        <v>#REF!</v>
      </c>
      <c r="K122" s="59" t="e">
        <f t="shared" si="7"/>
        <v>#REF!</v>
      </c>
    </row>
    <row r="123" spans="1:67">
      <c r="H123" s="21" t="s">
        <v>15</v>
      </c>
      <c r="I123" s="88" t="e">
        <f>B$116*'Mix Design'!C48+'Mix Design'!#REF!*C$116+D$116*'Mix Design'!#REF!</f>
        <v>#REF!</v>
      </c>
      <c r="J123" s="64" t="e">
        <f t="shared" si="6"/>
        <v>#REF!</v>
      </c>
      <c r="K123" s="59" t="e">
        <f t="shared" si="7"/>
        <v>#REF!</v>
      </c>
    </row>
    <row r="124" spans="1:67">
      <c r="H124" s="21" t="s">
        <v>16</v>
      </c>
      <c r="I124" s="88" t="e">
        <f>B$116*'Mix Design'!C49+'Mix Design'!#REF!*C$116+D$116*'Mix Design'!#REF!</f>
        <v>#REF!</v>
      </c>
      <c r="J124" s="64" t="e">
        <f t="shared" si="6"/>
        <v>#REF!</v>
      </c>
      <c r="K124" s="59" t="e">
        <f t="shared" si="7"/>
        <v>#REF!</v>
      </c>
    </row>
    <row r="125" spans="1:67">
      <c r="H125" s="21" t="s">
        <v>17</v>
      </c>
      <c r="I125" s="88" t="e">
        <f>B$116*'Mix Design'!#REF!+'Mix Design'!#REF!*C$116+D$116*'Mix Design'!#REF!</f>
        <v>#REF!</v>
      </c>
      <c r="J125" s="64" t="e">
        <f t="shared" si="6"/>
        <v>#REF!</v>
      </c>
      <c r="K125" s="82" t="e">
        <f t="shared" si="7"/>
        <v>#REF!</v>
      </c>
    </row>
    <row r="130" spans="1:38">
      <c r="AF130" s="78" t="s">
        <v>102</v>
      </c>
      <c r="AG130" s="11" t="s">
        <v>51</v>
      </c>
      <c r="AJ130" s="7" t="s">
        <v>99</v>
      </c>
      <c r="AK130" s="7" t="s">
        <v>103</v>
      </c>
      <c r="AL130" s="7" t="s">
        <v>30</v>
      </c>
    </row>
    <row r="131" spans="1:38">
      <c r="AF131" s="11" t="s">
        <v>105</v>
      </c>
      <c r="AG131" s="77" t="e">
        <f>K118/K120</f>
        <v>#REF!</v>
      </c>
      <c r="AJ131" s="7">
        <v>3</v>
      </c>
      <c r="AK131" s="7">
        <v>290.2</v>
      </c>
      <c r="AL131" s="7">
        <v>156.19999999999999</v>
      </c>
    </row>
    <row r="132" spans="1:38">
      <c r="AF132" s="11" t="s">
        <v>106</v>
      </c>
      <c r="AG132" s="77" t="e">
        <f>(I120*100+2.5*((AK131+AL131)-564)/94)/100</f>
        <v>#REF!</v>
      </c>
    </row>
    <row r="136" spans="1:38">
      <c r="B136" s="136" t="s">
        <v>112</v>
      </c>
      <c r="C136" s="11" t="s">
        <v>113</v>
      </c>
      <c r="D136" s="137" t="s">
        <v>114</v>
      </c>
    </row>
    <row r="137" spans="1:38">
      <c r="A137" s="139">
        <v>14</v>
      </c>
      <c r="B137" s="140">
        <v>275</v>
      </c>
      <c r="C137" s="140">
        <v>148</v>
      </c>
      <c r="D137" s="140">
        <v>190.35</v>
      </c>
    </row>
    <row r="138" spans="1:38">
      <c r="H138" s="26" t="s">
        <v>80</v>
      </c>
      <c r="I138" s="24"/>
      <c r="J138" s="24"/>
      <c r="K138" s="15"/>
    </row>
    <row r="139" spans="1:38">
      <c r="A139" s="7" t="s">
        <v>99</v>
      </c>
      <c r="B139" s="4" t="s">
        <v>100</v>
      </c>
      <c r="C139" s="4" t="s">
        <v>0</v>
      </c>
      <c r="D139" s="4" t="s">
        <v>101</v>
      </c>
      <c r="E139" s="4" t="s">
        <v>65</v>
      </c>
      <c r="H139" s="22"/>
      <c r="I139" s="6"/>
      <c r="J139" s="25" t="s">
        <v>115</v>
      </c>
      <c r="K139" s="15"/>
    </row>
    <row r="140" spans="1:38" ht="27">
      <c r="A140" s="11">
        <v>14</v>
      </c>
      <c r="B140" s="5">
        <v>1626.8</v>
      </c>
      <c r="C140" s="5">
        <v>467</v>
      </c>
      <c r="D140" s="5">
        <v>1265.5999999999999</v>
      </c>
      <c r="E140" s="7">
        <f>SUM(B140:D140)</f>
        <v>3359.4</v>
      </c>
      <c r="H140" s="8" t="s">
        <v>1</v>
      </c>
      <c r="I140" s="23" t="s">
        <v>82</v>
      </c>
      <c r="J140" s="23" t="s">
        <v>83</v>
      </c>
      <c r="K140" s="23" t="s">
        <v>84</v>
      </c>
    </row>
    <row r="141" spans="1:38">
      <c r="H141" s="19">
        <v>1.5</v>
      </c>
      <c r="I141" s="88" t="e">
        <f>B$143*'Mix Design'!#REF!+'Mix Design'!#REF!*C$143+D$143*'Mix Design'!#REF!</f>
        <v>#REF!</v>
      </c>
      <c r="J141" s="89" t="e">
        <f>1-I141</f>
        <v>#REF!</v>
      </c>
      <c r="K141" s="58" t="e">
        <f>J141</f>
        <v>#REF!</v>
      </c>
    </row>
    <row r="142" spans="1:38">
      <c r="B142" s="45" t="s">
        <v>104</v>
      </c>
      <c r="C142" s="46"/>
      <c r="D142" s="47"/>
      <c r="H142" s="19">
        <v>1</v>
      </c>
      <c r="I142" s="88" t="e">
        <f>B$143*'Mix Design'!#REF!+'Mix Design'!#REF!*C$143+D$143*'Mix Design'!#REF!</f>
        <v>#REF!</v>
      </c>
      <c r="J142" s="64" t="e">
        <f>I141-I142</f>
        <v>#REF!</v>
      </c>
      <c r="K142" s="59" t="e">
        <f>J141+J142</f>
        <v>#REF!</v>
      </c>
    </row>
    <row r="143" spans="1:38">
      <c r="B143" s="128">
        <f>B140/E140</f>
        <v>0.4842531404417455</v>
      </c>
      <c r="C143" s="128">
        <f>C140/E140</f>
        <v>0.13901291897362625</v>
      </c>
      <c r="D143" s="128">
        <f>D140/E140</f>
        <v>0.37673394058462817</v>
      </c>
      <c r="F143" s="50"/>
      <c r="G143" s="50"/>
      <c r="H143" s="19">
        <v>0.75</v>
      </c>
      <c r="I143" s="88" t="e">
        <f>B$143*'Mix Design'!#REF!+'Mix Design'!#REF!*C$143+D$143*'Mix Design'!#REF!</f>
        <v>#REF!</v>
      </c>
      <c r="J143" s="64" t="e">
        <f t="shared" ref="J143:J152" si="8">I142-I143</f>
        <v>#REF!</v>
      </c>
      <c r="K143" s="59" t="e">
        <f>J142+J143</f>
        <v>#REF!</v>
      </c>
    </row>
    <row r="144" spans="1:38">
      <c r="F144" s="50"/>
      <c r="G144" s="50"/>
      <c r="H144" s="19">
        <v>0.5</v>
      </c>
      <c r="I144" s="88" t="e">
        <f>B$143*'Mix Design'!#REF!+'Mix Design'!#REF!*C$143+D$143*'Mix Design'!#REF!</f>
        <v>#REF!</v>
      </c>
      <c r="J144" s="64" t="e">
        <f t="shared" si="8"/>
        <v>#REF!</v>
      </c>
      <c r="K144" s="59" t="e">
        <f t="shared" ref="K144:K152" si="9">K143+J144</f>
        <v>#REF!</v>
      </c>
    </row>
    <row r="145" spans="1:38">
      <c r="B145" s="129" t="s">
        <v>116</v>
      </c>
      <c r="C145" s="43"/>
      <c r="D145" s="44"/>
      <c r="F145" s="50"/>
      <c r="G145" s="50"/>
      <c r="H145" s="7">
        <v>0.375</v>
      </c>
      <c r="I145" s="88" t="e">
        <f>B$143*'Mix Design'!#REF!+'Mix Design'!#REF!*C$143+D$143*'Mix Design'!#REF!</f>
        <v>#REF!</v>
      </c>
      <c r="J145" s="64" t="e">
        <f t="shared" si="8"/>
        <v>#REF!</v>
      </c>
      <c r="K145" s="87" t="e">
        <f t="shared" si="9"/>
        <v>#REF!</v>
      </c>
    </row>
    <row r="146" spans="1:38">
      <c r="A146" s="4" t="s">
        <v>100</v>
      </c>
      <c r="B146" s="4" t="s">
        <v>0</v>
      </c>
      <c r="C146" s="4" t="s">
        <v>101</v>
      </c>
      <c r="D146" s="4" t="s">
        <v>103</v>
      </c>
      <c r="E146" s="4" t="s">
        <v>117</v>
      </c>
      <c r="F146" s="112" t="s">
        <v>118</v>
      </c>
      <c r="G146" s="74"/>
      <c r="H146" s="20" t="s">
        <v>11</v>
      </c>
      <c r="I146" s="88" t="e">
        <f>B$143*'Mix Design'!#REF!+'Mix Design'!#REF!*C$143+D$143*'Mix Design'!#REF!</f>
        <v>#REF!</v>
      </c>
      <c r="J146" s="64" t="e">
        <f t="shared" si="8"/>
        <v>#REF!</v>
      </c>
      <c r="K146" s="59" t="e">
        <f t="shared" si="9"/>
        <v>#REF!</v>
      </c>
    </row>
    <row r="147" spans="1:38">
      <c r="A147" s="11">
        <v>2.65</v>
      </c>
      <c r="B147" s="11">
        <v>2.65</v>
      </c>
      <c r="C147" s="11">
        <v>2.65</v>
      </c>
      <c r="D147" s="11">
        <v>3.1</v>
      </c>
      <c r="E147" s="11">
        <v>2.5</v>
      </c>
      <c r="F147" s="131">
        <v>1</v>
      </c>
      <c r="G147" s="1"/>
      <c r="H147" s="21" t="s">
        <v>12</v>
      </c>
      <c r="I147" s="108" t="e">
        <f>B$143*'Mix Design'!#REF!+'Mix Design'!#REF!*C$143+D$143*'Mix Design'!#REF!</f>
        <v>#REF!</v>
      </c>
      <c r="J147" s="64" t="e">
        <f t="shared" si="8"/>
        <v>#REF!</v>
      </c>
      <c r="K147" s="87" t="e">
        <f t="shared" si="9"/>
        <v>#REF!</v>
      </c>
    </row>
    <row r="148" spans="1:38">
      <c r="F148" s="50"/>
      <c r="G148" s="50"/>
      <c r="H148" s="21" t="s">
        <v>13</v>
      </c>
      <c r="I148" s="88" t="e">
        <f>B$143*'Mix Design'!C46+'Mix Design'!#REF!*C$143+D$143*'Mix Design'!#REF!</f>
        <v>#REF!</v>
      </c>
      <c r="J148" s="64" t="e">
        <f t="shared" si="8"/>
        <v>#REF!</v>
      </c>
      <c r="K148" s="59" t="e">
        <f t="shared" si="9"/>
        <v>#REF!</v>
      </c>
    </row>
    <row r="149" spans="1:38">
      <c r="A149" s="130" t="s">
        <v>119</v>
      </c>
      <c r="B149" s="4" t="s">
        <v>100</v>
      </c>
      <c r="C149" s="4" t="s">
        <v>0</v>
      </c>
      <c r="D149" s="4" t="s">
        <v>101</v>
      </c>
      <c r="F149" s="50"/>
      <c r="G149" s="50"/>
      <c r="H149" s="21" t="s">
        <v>14</v>
      </c>
      <c r="I149" s="88" t="e">
        <f>B$143*'Mix Design'!C47+'Mix Design'!#REF!*C$143+D$143*'Mix Design'!#REF!</f>
        <v>#REF!</v>
      </c>
      <c r="J149" s="64" t="e">
        <f t="shared" si="8"/>
        <v>#REF!</v>
      </c>
      <c r="K149" s="59" t="e">
        <f t="shared" si="9"/>
        <v>#REF!</v>
      </c>
    </row>
    <row r="150" spans="1:38">
      <c r="A150" s="11" t="s">
        <v>120</v>
      </c>
      <c r="B150" s="142">
        <f>B140/A147/62.4</f>
        <v>9.8379293662312524</v>
      </c>
      <c r="C150" s="142">
        <f>C140/B147/62.4</f>
        <v>2.8241412675374939</v>
      </c>
      <c r="D150" s="142">
        <f>D140/C147/62.4</f>
        <v>7.6536042573778422</v>
      </c>
      <c r="E150" s="142">
        <f>SUM(B150:D150)</f>
        <v>20.315674891146589</v>
      </c>
      <c r="F150" s="50"/>
      <c r="G150" s="50"/>
      <c r="H150" s="21" t="s">
        <v>15</v>
      </c>
      <c r="I150" s="88" t="e">
        <f>B$143*'Mix Design'!C48+'Mix Design'!#REF!*C$143+D$143*'Mix Design'!#REF!</f>
        <v>#REF!</v>
      </c>
      <c r="J150" s="64" t="e">
        <f t="shared" si="8"/>
        <v>#REF!</v>
      </c>
      <c r="K150" s="59" t="e">
        <f t="shared" si="9"/>
        <v>#REF!</v>
      </c>
    </row>
    <row r="151" spans="1:38">
      <c r="F151" s="50"/>
      <c r="G151" s="50"/>
      <c r="H151" s="21" t="s">
        <v>16</v>
      </c>
      <c r="I151" s="88" t="e">
        <f>B$143*'Mix Design'!C49+'Mix Design'!#REF!*C$143+D$143*'Mix Design'!#REF!</f>
        <v>#REF!</v>
      </c>
      <c r="J151" s="64" t="e">
        <f t="shared" si="8"/>
        <v>#REF!</v>
      </c>
      <c r="K151" s="59" t="e">
        <f t="shared" si="9"/>
        <v>#REF!</v>
      </c>
    </row>
    <row r="152" spans="1:38">
      <c r="A152" s="130" t="s">
        <v>119</v>
      </c>
      <c r="B152" s="4" t="s">
        <v>103</v>
      </c>
      <c r="C152" s="4" t="s">
        <v>117</v>
      </c>
      <c r="D152" s="77" t="s">
        <v>118</v>
      </c>
      <c r="F152" s="50"/>
      <c r="G152" s="50"/>
      <c r="H152" s="21" t="s">
        <v>17</v>
      </c>
      <c r="I152" s="88" t="e">
        <f>B$143*'Mix Design'!#REF!+'Mix Design'!#REF!*C$143+D$143*'Mix Design'!#REF!</f>
        <v>#REF!</v>
      </c>
      <c r="J152" s="64" t="e">
        <f t="shared" si="8"/>
        <v>#REF!</v>
      </c>
      <c r="K152" s="82" t="e">
        <f t="shared" si="9"/>
        <v>#REF!</v>
      </c>
    </row>
    <row r="153" spans="1:38">
      <c r="A153" s="7" t="s">
        <v>121</v>
      </c>
      <c r="B153" s="142">
        <f>B137/D147/62.4</f>
        <v>1.4216294458229941</v>
      </c>
      <c r="C153" s="142">
        <f>C137/E147/62.4</f>
        <v>0.94871794871794879</v>
      </c>
      <c r="D153" s="142">
        <f>D137/F147/62.4</f>
        <v>3.0504807692307692</v>
      </c>
      <c r="E153" s="143">
        <f>SUM(B153:D153)</f>
        <v>5.4208281637717119</v>
      </c>
      <c r="F153" s="50"/>
      <c r="G153" s="50"/>
    </row>
    <row r="154" spans="1:38">
      <c r="A154" s="29" t="s">
        <v>122</v>
      </c>
      <c r="B154" s="143">
        <f>27-E150-E153</f>
        <v>1.2634969450816991</v>
      </c>
      <c r="C154" s="143"/>
      <c r="D154" s="143"/>
      <c r="E154" s="143"/>
      <c r="F154" s="50"/>
      <c r="G154" s="50"/>
    </row>
    <row r="155" spans="1:38">
      <c r="A155" t="s">
        <v>123</v>
      </c>
      <c r="B155" s="144">
        <f>B154/27</f>
        <v>4.6796183151174037E-2</v>
      </c>
    </row>
    <row r="158" spans="1:38">
      <c r="AF158" s="78" t="s">
        <v>102</v>
      </c>
      <c r="AG158" s="11" t="s">
        <v>51</v>
      </c>
      <c r="AJ158" s="11" t="s">
        <v>99</v>
      </c>
      <c r="AK158" s="27" t="s">
        <v>103</v>
      </c>
      <c r="AL158" s="27" t="s">
        <v>30</v>
      </c>
    </row>
    <row r="159" spans="1:38">
      <c r="AF159" s="11" t="s">
        <v>105</v>
      </c>
      <c r="AG159" s="77" t="e">
        <f>K145/K147</f>
        <v>#REF!</v>
      </c>
      <c r="AJ159" s="11">
        <v>14</v>
      </c>
      <c r="AK159" s="28">
        <v>275</v>
      </c>
      <c r="AL159" s="28">
        <v>148</v>
      </c>
    </row>
    <row r="160" spans="1:38">
      <c r="AF160" s="11" t="s">
        <v>106</v>
      </c>
      <c r="AG160" s="77" t="e">
        <f>(I147*100+2.5*((AK159+AL159)-564)/94)/100</f>
        <v>#REF!</v>
      </c>
    </row>
    <row r="162" spans="1:11">
      <c r="D162" s="129" t="s">
        <v>116</v>
      </c>
      <c r="E162" s="43"/>
      <c r="F162" s="44"/>
    </row>
    <row r="163" spans="1:11">
      <c r="A163" s="4" t="s">
        <v>100</v>
      </c>
      <c r="B163" s="4" t="s">
        <v>0</v>
      </c>
      <c r="C163" s="4" t="s">
        <v>101</v>
      </c>
      <c r="D163" s="4" t="s">
        <v>103</v>
      </c>
      <c r="E163" s="4" t="s">
        <v>117</v>
      </c>
      <c r="F163" s="112" t="s">
        <v>118</v>
      </c>
      <c r="H163" s="11" t="s">
        <v>99</v>
      </c>
      <c r="I163" s="30" t="s">
        <v>112</v>
      </c>
      <c r="J163" s="57" t="s">
        <v>113</v>
      </c>
      <c r="K163" s="135" t="s">
        <v>114</v>
      </c>
    </row>
    <row r="164" spans="1:11">
      <c r="A164" s="11">
        <v>2.65</v>
      </c>
      <c r="B164" s="11">
        <v>2.65</v>
      </c>
      <c r="C164" s="11">
        <v>2.65</v>
      </c>
      <c r="D164" s="11">
        <v>3.1</v>
      </c>
      <c r="E164" s="11">
        <v>2.5</v>
      </c>
      <c r="F164" s="131">
        <v>1</v>
      </c>
      <c r="H164" s="11">
        <v>15</v>
      </c>
      <c r="I164" s="147">
        <v>259.7</v>
      </c>
      <c r="J164" s="147">
        <v>139.80000000000001</v>
      </c>
      <c r="K164" s="147">
        <v>179.8</v>
      </c>
    </row>
    <row r="166" spans="1:11">
      <c r="H166" s="26" t="s">
        <v>80</v>
      </c>
      <c r="I166" s="24"/>
      <c r="J166" s="24"/>
      <c r="K166" s="15"/>
    </row>
    <row r="167" spans="1:11">
      <c r="A167" s="11" t="s">
        <v>99</v>
      </c>
      <c r="B167" s="4" t="s">
        <v>100</v>
      </c>
      <c r="C167" s="4" t="s">
        <v>0</v>
      </c>
      <c r="D167" s="4" t="s">
        <v>101</v>
      </c>
      <c r="E167" s="4" t="s">
        <v>65</v>
      </c>
      <c r="H167" s="22"/>
      <c r="I167" s="6"/>
      <c r="J167" s="25" t="s">
        <v>124</v>
      </c>
      <c r="K167" s="15"/>
    </row>
    <row r="168" spans="1:11" ht="18" customHeight="1">
      <c r="A168" s="11">
        <v>15</v>
      </c>
      <c r="B168" s="11">
        <v>1650.3</v>
      </c>
      <c r="C168" s="11">
        <v>473.6</v>
      </c>
      <c r="D168" s="11">
        <v>1283.9000000000001</v>
      </c>
      <c r="E168" s="11">
        <f>SUM(B168:D168)</f>
        <v>3407.8</v>
      </c>
      <c r="H168" s="8" t="s">
        <v>1</v>
      </c>
      <c r="I168" s="23" t="s">
        <v>82</v>
      </c>
      <c r="J168" s="23" t="s">
        <v>83</v>
      </c>
      <c r="K168" s="23" t="s">
        <v>84</v>
      </c>
    </row>
    <row r="169" spans="1:11">
      <c r="H169" s="19">
        <v>1.5</v>
      </c>
      <c r="I169" s="82" t="e">
        <f>B$171*'Mix Design'!#REF!+'Mix Design'!#REF!*C$171+D$171*'Mix Design'!#REF!</f>
        <v>#REF!</v>
      </c>
      <c r="J169" s="89" t="e">
        <f>1-I169</f>
        <v>#REF!</v>
      </c>
      <c r="K169" s="58" t="e">
        <f>J169</f>
        <v>#REF!</v>
      </c>
    </row>
    <row r="170" spans="1:11">
      <c r="B170" s="17" t="s">
        <v>104</v>
      </c>
      <c r="C170" s="37"/>
      <c r="D170" s="18"/>
      <c r="H170" s="19">
        <v>1</v>
      </c>
      <c r="I170" s="82" t="e">
        <f>B$171*'Mix Design'!#REF!+'Mix Design'!#REF!*C$171+D$171*'Mix Design'!#REF!</f>
        <v>#REF!</v>
      </c>
      <c r="J170" s="64" t="e">
        <f>I169-I170</f>
        <v>#REF!</v>
      </c>
      <c r="K170" s="59" t="e">
        <f>J169+J170</f>
        <v>#REF!</v>
      </c>
    </row>
    <row r="171" spans="1:11">
      <c r="B171" s="146">
        <f>B168/E168</f>
        <v>0.48427137742825277</v>
      </c>
      <c r="C171" s="146">
        <f>C168/E168</f>
        <v>0.13897529197722872</v>
      </c>
      <c r="D171" s="146">
        <f>D168/E168</f>
        <v>0.37675333059451849</v>
      </c>
      <c r="H171" s="19">
        <v>0.75</v>
      </c>
      <c r="I171" s="82" t="e">
        <f>B$171*'Mix Design'!#REF!+'Mix Design'!#REF!*C$171+D$171*'Mix Design'!#REF!</f>
        <v>#REF!</v>
      </c>
      <c r="J171" s="64" t="e">
        <f t="shared" ref="J171:J180" si="10">I170-I171</f>
        <v>#REF!</v>
      </c>
      <c r="K171" s="59" t="e">
        <f>J170+J171</f>
        <v>#REF!</v>
      </c>
    </row>
    <row r="172" spans="1:11">
      <c r="H172" s="19">
        <v>0.5</v>
      </c>
      <c r="I172" s="82" t="e">
        <f>B$171*'Mix Design'!#REF!+'Mix Design'!#REF!*C$171+D$171*'Mix Design'!#REF!</f>
        <v>#REF!</v>
      </c>
      <c r="J172" s="64" t="e">
        <f t="shared" si="10"/>
        <v>#REF!</v>
      </c>
      <c r="K172" s="59" t="e">
        <f>K171+J172</f>
        <v>#REF!</v>
      </c>
    </row>
    <row r="173" spans="1:11">
      <c r="A173" t="s">
        <v>125</v>
      </c>
      <c r="B173" s="148" t="s">
        <v>103</v>
      </c>
      <c r="C173" s="148" t="s">
        <v>117</v>
      </c>
      <c r="D173" s="58" t="s">
        <v>118</v>
      </c>
      <c r="E173" s="11" t="s">
        <v>126</v>
      </c>
      <c r="F173" s="11" t="s">
        <v>34</v>
      </c>
      <c r="H173" s="7">
        <v>0.375</v>
      </c>
      <c r="I173" s="82" t="e">
        <f>B$171*'Mix Design'!#REF!+'Mix Design'!#REF!*C$171+D$171*'Mix Design'!#REF!</f>
        <v>#REF!</v>
      </c>
      <c r="J173" s="64" t="e">
        <f t="shared" si="10"/>
        <v>#REF!</v>
      </c>
      <c r="K173" s="87" t="e">
        <f t="shared" ref="K173:K180" si="11">K172+J173</f>
        <v>#REF!</v>
      </c>
    </row>
    <row r="174" spans="1:11">
      <c r="A174" s="29" t="s">
        <v>127</v>
      </c>
      <c r="B174" s="142">
        <f>I164/D164/62.4</f>
        <v>1.3425351530190239</v>
      </c>
      <c r="C174" s="142">
        <f>J164/E164/62.4</f>
        <v>0.89615384615384619</v>
      </c>
      <c r="D174" s="142">
        <f>K164/F164/62.4</f>
        <v>2.8814102564102568</v>
      </c>
      <c r="E174" s="11">
        <f>4.5/100*27</f>
        <v>1.2149999999999999</v>
      </c>
      <c r="F174" s="142">
        <f>SUM(B174:E174)</f>
        <v>6.3350992555831267</v>
      </c>
      <c r="H174" s="20" t="s">
        <v>11</v>
      </c>
      <c r="I174" s="82" t="e">
        <f>B$171*'Mix Design'!#REF!+'Mix Design'!#REF!*C$171+D$171*'Mix Design'!#REF!</f>
        <v>#REF!</v>
      </c>
      <c r="J174" s="64" t="e">
        <f t="shared" si="10"/>
        <v>#REF!</v>
      </c>
      <c r="K174" s="59" t="e">
        <f t="shared" si="11"/>
        <v>#REF!</v>
      </c>
    </row>
    <row r="175" spans="1:11">
      <c r="H175" s="21" t="s">
        <v>12</v>
      </c>
      <c r="I175" s="114" t="e">
        <f>B$171*'Mix Design'!#REF!+'Mix Design'!#REF!*C$171+D$171*'Mix Design'!#REF!</f>
        <v>#REF!</v>
      </c>
      <c r="J175" s="64" t="e">
        <f t="shared" si="10"/>
        <v>#REF!</v>
      </c>
      <c r="K175" s="87" t="e">
        <f t="shared" si="11"/>
        <v>#REF!</v>
      </c>
    </row>
    <row r="176" spans="1:11">
      <c r="B176" s="11" t="s">
        <v>34</v>
      </c>
      <c r="C176" s="149" t="s">
        <v>100</v>
      </c>
      <c r="D176" s="4" t="s">
        <v>0</v>
      </c>
      <c r="E176" s="4" t="s">
        <v>101</v>
      </c>
      <c r="H176" s="21" t="s">
        <v>13</v>
      </c>
      <c r="I176" s="82" t="e">
        <f>B$171*'Mix Design'!C46+'Mix Design'!#REF!*C$171+D$171*'Mix Design'!#REF!</f>
        <v>#REF!</v>
      </c>
      <c r="J176" s="64" t="e">
        <f t="shared" si="10"/>
        <v>#REF!</v>
      </c>
      <c r="K176" s="59" t="e">
        <f t="shared" si="11"/>
        <v>#REF!</v>
      </c>
    </row>
    <row r="177" spans="1:38">
      <c r="A177" t="s">
        <v>128</v>
      </c>
      <c r="B177" s="142">
        <f>27-F174</f>
        <v>20.664900744416872</v>
      </c>
      <c r="H177" s="21" t="s">
        <v>14</v>
      </c>
      <c r="I177" s="82" t="e">
        <f>B$171*'Mix Design'!C47+'Mix Design'!#REF!*C$171+D$171*'Mix Design'!#REF!</f>
        <v>#REF!</v>
      </c>
      <c r="J177" s="64" t="e">
        <f t="shared" si="10"/>
        <v>#REF!</v>
      </c>
      <c r="K177" s="59" t="e">
        <f t="shared" si="11"/>
        <v>#REF!</v>
      </c>
    </row>
    <row r="178" spans="1:38">
      <c r="H178" s="21" t="s">
        <v>15</v>
      </c>
      <c r="I178" s="82" t="e">
        <f>B$171*'Mix Design'!C48+'Mix Design'!#REF!*C$171+D$171*'Mix Design'!#REF!</f>
        <v>#REF!</v>
      </c>
      <c r="J178" s="64" t="e">
        <f t="shared" si="10"/>
        <v>#REF!</v>
      </c>
      <c r="K178" s="59" t="e">
        <f t="shared" si="11"/>
        <v>#REF!</v>
      </c>
    </row>
    <row r="179" spans="1:38">
      <c r="H179" s="21" t="s">
        <v>16</v>
      </c>
      <c r="I179" s="82" t="e">
        <f>B$171*'Mix Design'!C49+'Mix Design'!#REF!*C$171+D$171*'Mix Design'!#REF!</f>
        <v>#REF!</v>
      </c>
      <c r="J179" s="64" t="e">
        <f t="shared" si="10"/>
        <v>#REF!</v>
      </c>
      <c r="K179" s="59" t="e">
        <f t="shared" si="11"/>
        <v>#REF!</v>
      </c>
    </row>
    <row r="180" spans="1:38">
      <c r="H180" s="21" t="s">
        <v>17</v>
      </c>
      <c r="I180" s="82" t="e">
        <f>B$171*'Mix Design'!#REF!+'Mix Design'!#REF!*C$171+D$171*'Mix Design'!#REF!</f>
        <v>#REF!</v>
      </c>
      <c r="J180" s="64" t="e">
        <f t="shared" si="10"/>
        <v>#REF!</v>
      </c>
      <c r="K180" s="82" t="e">
        <f t="shared" si="11"/>
        <v>#REF!</v>
      </c>
    </row>
    <row r="186" spans="1:38">
      <c r="AF186" s="78" t="s">
        <v>102</v>
      </c>
      <c r="AG186" s="11" t="s">
        <v>51</v>
      </c>
      <c r="AJ186" s="11" t="s">
        <v>99</v>
      </c>
      <c r="AK186" s="7" t="s">
        <v>103</v>
      </c>
      <c r="AL186" s="7" t="s">
        <v>30</v>
      </c>
    </row>
    <row r="187" spans="1:38">
      <c r="AF187" s="11" t="s">
        <v>105</v>
      </c>
      <c r="AG187" s="77" t="e">
        <f>K173/K175</f>
        <v>#REF!</v>
      </c>
      <c r="AJ187" s="11">
        <v>15</v>
      </c>
      <c r="AK187" s="28">
        <v>259.7</v>
      </c>
      <c r="AL187" s="28">
        <v>139.80000000000001</v>
      </c>
    </row>
    <row r="188" spans="1:38">
      <c r="AF188" s="11" t="s">
        <v>106</v>
      </c>
      <c r="AG188" s="77" t="e">
        <f>(I175*100+2.5*((AK187+AL187)-564)/94)/100</f>
        <v>#REF!</v>
      </c>
    </row>
    <row r="195" spans="1:71">
      <c r="H195" s="110" t="s">
        <v>80</v>
      </c>
      <c r="I195" s="43"/>
      <c r="J195" s="43"/>
      <c r="K195" s="44"/>
    </row>
    <row r="196" spans="1:71">
      <c r="A196" s="7" t="s">
        <v>99</v>
      </c>
      <c r="B196" s="4" t="s">
        <v>100</v>
      </c>
      <c r="C196" s="4" t="s">
        <v>0</v>
      </c>
      <c r="D196" s="4" t="s">
        <v>101</v>
      </c>
      <c r="E196" s="4" t="s">
        <v>65</v>
      </c>
      <c r="H196" s="22"/>
      <c r="I196" s="34"/>
      <c r="J196" s="34" t="s">
        <v>129</v>
      </c>
      <c r="K196" s="35"/>
    </row>
    <row r="197" spans="1:71" ht="27.5">
      <c r="A197" s="7">
        <v>17</v>
      </c>
      <c r="B197" s="7">
        <v>1913.6</v>
      </c>
      <c r="C197" s="7">
        <v>0</v>
      </c>
      <c r="D197" s="7">
        <v>1375</v>
      </c>
      <c r="E197" s="7">
        <f>SUM(B197:D197)</f>
        <v>3288.6</v>
      </c>
      <c r="H197" s="111" t="s">
        <v>1</v>
      </c>
      <c r="I197" s="109" t="s">
        <v>82</v>
      </c>
      <c r="J197" t="s">
        <v>83</v>
      </c>
      <c r="K197" s="7" t="s">
        <v>84</v>
      </c>
    </row>
    <row r="198" spans="1:71">
      <c r="H198" s="32">
        <v>1.5</v>
      </c>
      <c r="I198" s="59" t="e">
        <f>B$200*'Mix Design'!#REF!+'Mix Design'!#REF!*C$200+D$200*'Mix Design'!#REF!</f>
        <v>#REF!</v>
      </c>
      <c r="J198" s="89" t="e">
        <f>1-I198</f>
        <v>#REF!</v>
      </c>
      <c r="K198" s="58" t="e">
        <f>J198</f>
        <v>#REF!</v>
      </c>
    </row>
    <row r="199" spans="1:71">
      <c r="B199" s="17" t="s">
        <v>104</v>
      </c>
      <c r="C199" s="37"/>
      <c r="D199" s="18"/>
      <c r="H199" s="32">
        <v>1</v>
      </c>
      <c r="I199" s="59" t="e">
        <f>B$200*'Mix Design'!#REF!+'Mix Design'!#REF!*C$200+D$200*'Mix Design'!#REF!</f>
        <v>#REF!</v>
      </c>
      <c r="J199" s="64" t="e">
        <f>I198-I199</f>
        <v>#REF!</v>
      </c>
      <c r="K199" s="59" t="e">
        <f>K198+J199</f>
        <v>#REF!</v>
      </c>
    </row>
    <row r="200" spans="1:71">
      <c r="B200" s="145">
        <f>B197/E197</f>
        <v>0.58188894970504168</v>
      </c>
      <c r="C200" s="145">
        <f>C197/E197</f>
        <v>0</v>
      </c>
      <c r="D200" s="145">
        <f>D197/E197</f>
        <v>0.41811105029495838</v>
      </c>
      <c r="H200" s="32">
        <v>0.75</v>
      </c>
      <c r="I200" s="59" t="e">
        <f>B$200*'Mix Design'!#REF!+'Mix Design'!#REF!*C$200+D$200*'Mix Design'!#REF!</f>
        <v>#REF!</v>
      </c>
      <c r="J200" s="64" t="e">
        <f t="shared" ref="J200:J209" si="12">I199-I200</f>
        <v>#REF!</v>
      </c>
      <c r="K200" s="59" t="e">
        <f t="shared" ref="K200:K209" si="13">K199+J200</f>
        <v>#REF!</v>
      </c>
    </row>
    <row r="201" spans="1:71">
      <c r="H201" s="32">
        <v>0.5</v>
      </c>
      <c r="I201" s="59" t="e">
        <f>B$200*'Mix Design'!#REF!+'Mix Design'!#REF!*C$200+D$200*'Mix Design'!#REF!</f>
        <v>#REF!</v>
      </c>
      <c r="J201" s="64" t="e">
        <f t="shared" si="12"/>
        <v>#REF!</v>
      </c>
      <c r="K201" s="59" t="e">
        <f t="shared" si="13"/>
        <v>#REF!</v>
      </c>
    </row>
    <row r="202" spans="1:71">
      <c r="H202" s="32">
        <v>0.375</v>
      </c>
      <c r="I202" s="59" t="e">
        <f>B$200*'Mix Design'!#REF!+'Mix Design'!#REF!*C$200+D$200*'Mix Design'!#REF!</f>
        <v>#REF!</v>
      </c>
      <c r="J202" s="64" t="e">
        <f t="shared" si="12"/>
        <v>#REF!</v>
      </c>
      <c r="K202" s="87" t="e">
        <f t="shared" si="13"/>
        <v>#REF!</v>
      </c>
    </row>
    <row r="203" spans="1:71">
      <c r="H203" s="32" t="s">
        <v>11</v>
      </c>
      <c r="I203" s="59" t="e">
        <f>B$200*'Mix Design'!#REF!+'Mix Design'!#REF!*C$200+D$200*'Mix Design'!#REF!</f>
        <v>#REF!</v>
      </c>
      <c r="J203" s="64" t="e">
        <f t="shared" si="12"/>
        <v>#REF!</v>
      </c>
      <c r="K203" s="59" t="e">
        <f t="shared" si="13"/>
        <v>#REF!</v>
      </c>
    </row>
    <row r="204" spans="1:71">
      <c r="H204" s="32" t="s">
        <v>12</v>
      </c>
      <c r="I204" s="90" t="e">
        <f>B$200*'Mix Design'!#REF!+'Mix Design'!#REF!*C$200+D$200*'Mix Design'!#REF!</f>
        <v>#REF!</v>
      </c>
      <c r="J204" s="64" t="e">
        <f t="shared" si="12"/>
        <v>#REF!</v>
      </c>
      <c r="K204" s="87" t="e">
        <f t="shared" si="13"/>
        <v>#REF!</v>
      </c>
    </row>
    <row r="205" spans="1:71">
      <c r="H205" s="32" t="s">
        <v>13</v>
      </c>
      <c r="I205" s="59" t="e">
        <f>B$200*'Mix Design'!C46+'Mix Design'!#REF!*C$200+D$200*'Mix Design'!#REF!</f>
        <v>#REF!</v>
      </c>
      <c r="J205" s="64" t="e">
        <f t="shared" si="12"/>
        <v>#REF!</v>
      </c>
      <c r="K205" s="59" t="e">
        <f t="shared" si="13"/>
        <v>#REF!</v>
      </c>
    </row>
    <row r="206" spans="1:71">
      <c r="H206" s="32" t="s">
        <v>14</v>
      </c>
      <c r="I206" s="59" t="e">
        <f>B$200*'Mix Design'!C47+'Mix Design'!#REF!*C$200+D$200*'Mix Design'!#REF!</f>
        <v>#REF!</v>
      </c>
      <c r="J206" s="64" t="e">
        <f t="shared" si="12"/>
        <v>#REF!</v>
      </c>
      <c r="K206" s="59" t="e">
        <f t="shared" si="13"/>
        <v>#REF!</v>
      </c>
    </row>
    <row r="207" spans="1:71">
      <c r="H207" s="32" t="s">
        <v>15</v>
      </c>
      <c r="I207" s="59" t="e">
        <f>B$200*'Mix Design'!C48+'Mix Design'!#REF!*C$200+D$200*'Mix Design'!#REF!</f>
        <v>#REF!</v>
      </c>
      <c r="J207" s="64" t="e">
        <f t="shared" si="12"/>
        <v>#REF!</v>
      </c>
      <c r="K207" s="59" t="e">
        <f t="shared" si="13"/>
        <v>#REF!</v>
      </c>
    </row>
    <row r="208" spans="1:71">
      <c r="H208" s="32" t="s">
        <v>16</v>
      </c>
      <c r="I208" s="59" t="e">
        <f>B$200*'Mix Design'!C49+'Mix Design'!#REF!*C$200+D$200*'Mix Design'!#REF!</f>
        <v>#REF!</v>
      </c>
      <c r="J208" s="64" t="e">
        <f t="shared" si="12"/>
        <v>#REF!</v>
      </c>
      <c r="K208" s="59" t="e">
        <f t="shared" si="13"/>
        <v>#REF!</v>
      </c>
      <c r="BR208" s="29"/>
      <c r="BS208" s="29"/>
    </row>
    <row r="209" spans="1:98">
      <c r="H209" s="33" t="s">
        <v>17</v>
      </c>
      <c r="I209" s="59" t="e">
        <f>B$200*'Mix Design'!#REF!+'Mix Design'!#REF!*C$200+D$200*'Mix Design'!#REF!</f>
        <v>#REF!</v>
      </c>
      <c r="J209" s="64" t="e">
        <f t="shared" si="12"/>
        <v>#REF!</v>
      </c>
      <c r="K209" s="59" t="e">
        <f t="shared" si="13"/>
        <v>#REF!</v>
      </c>
      <c r="BQ209" s="271"/>
      <c r="BR209" s="1"/>
    </row>
    <row r="210" spans="1:98">
      <c r="BQ210" s="29"/>
      <c r="BR210" s="1"/>
    </row>
    <row r="211" spans="1:98">
      <c r="BQ211" s="29"/>
      <c r="BR211" s="1"/>
    </row>
    <row r="212" spans="1:98">
      <c r="BQ212" s="29"/>
      <c r="BR212" s="1"/>
    </row>
    <row r="213" spans="1:98">
      <c r="BQ213" s="29"/>
    </row>
    <row r="214" spans="1:98">
      <c r="BQ214" s="113"/>
    </row>
    <row r="215" spans="1:98">
      <c r="AF215" s="11" t="s">
        <v>102</v>
      </c>
      <c r="AG215" s="11" t="s">
        <v>51</v>
      </c>
      <c r="AJ215" s="11" t="s">
        <v>99</v>
      </c>
      <c r="AK215" s="7" t="s">
        <v>103</v>
      </c>
      <c r="AL215" s="7" t="s">
        <v>30</v>
      </c>
      <c r="BQ215" s="29"/>
    </row>
    <row r="216" spans="1:98">
      <c r="AF216" s="11" t="s">
        <v>105</v>
      </c>
      <c r="AG216" s="77" t="e">
        <f>K202/K204</f>
        <v>#REF!</v>
      </c>
      <c r="AJ216" s="11">
        <v>17</v>
      </c>
      <c r="AK216" s="28">
        <v>305.5</v>
      </c>
      <c r="AL216" s="28">
        <v>164.5</v>
      </c>
      <c r="BQ216" s="29"/>
    </row>
    <row r="217" spans="1:98">
      <c r="AF217" s="11" t="s">
        <v>106</v>
      </c>
      <c r="AG217" s="77" t="e">
        <f>(I204*100+2.5*((AK216+AL216)-564)/94)/100</f>
        <v>#REF!</v>
      </c>
      <c r="BQ217" s="29"/>
    </row>
    <row r="218" spans="1:98">
      <c r="BQ218" s="29"/>
    </row>
    <row r="219" spans="1:98" ht="21">
      <c r="BQ219" s="29"/>
      <c r="CP219" s="339"/>
      <c r="CQ219" s="339"/>
    </row>
    <row r="220" spans="1:98" ht="31.5" customHeight="1">
      <c r="BM220" s="340"/>
      <c r="BN220" s="340"/>
      <c r="CT220" s="319"/>
    </row>
    <row r="221" spans="1:98">
      <c r="CQ221" s="320"/>
    </row>
    <row r="223" spans="1:98">
      <c r="H223" s="26" t="s">
        <v>80</v>
      </c>
      <c r="I223" s="41"/>
      <c r="J223" s="41"/>
      <c r="K223" s="42"/>
      <c r="BR223" s="341"/>
      <c r="BS223" s="156"/>
      <c r="BW223" s="269"/>
      <c r="BX223" s="269"/>
      <c r="CQ223" s="320"/>
    </row>
    <row r="224" spans="1:98">
      <c r="A224" s="7" t="s">
        <v>99</v>
      </c>
      <c r="B224" s="4" t="s">
        <v>100</v>
      </c>
      <c r="C224" s="4" t="s">
        <v>0</v>
      </c>
      <c r="D224" s="4" t="s">
        <v>101</v>
      </c>
      <c r="E224" s="4" t="s">
        <v>65</v>
      </c>
      <c r="H224" s="22"/>
      <c r="I224" s="36"/>
      <c r="J224" s="36" t="s">
        <v>130</v>
      </c>
      <c r="K224" s="16"/>
      <c r="BK224" s="29"/>
      <c r="BL224" s="29"/>
      <c r="BM224" s="342"/>
      <c r="BN224" s="113"/>
      <c r="BP224" s="29"/>
      <c r="BQ224" s="29"/>
      <c r="BR224" s="342"/>
      <c r="BS224" s="113"/>
      <c r="BU224" s="29"/>
      <c r="BV224" s="29"/>
      <c r="BW224" s="342"/>
      <c r="BX224" s="113"/>
      <c r="CA224" s="29"/>
      <c r="CB224" s="29"/>
    </row>
    <row r="225" spans="1:111" ht="27.5">
      <c r="A225" s="7">
        <v>18</v>
      </c>
      <c r="B225" s="7">
        <v>1941</v>
      </c>
      <c r="C225" s="7">
        <v>0</v>
      </c>
      <c r="D225" s="7">
        <v>1395</v>
      </c>
      <c r="E225" s="7">
        <f>SUM(B225:D225)</f>
        <v>3336</v>
      </c>
      <c r="H225" s="111" t="s">
        <v>1</v>
      </c>
      <c r="I225" s="7" t="s">
        <v>82</v>
      </c>
      <c r="J225" s="6" t="s">
        <v>83</v>
      </c>
      <c r="K225" s="15" t="s">
        <v>84</v>
      </c>
      <c r="BK225" s="113"/>
      <c r="BL225" s="29"/>
      <c r="BM225" s="342"/>
      <c r="BN225" s="270"/>
      <c r="BP225" s="113"/>
      <c r="BQ225" s="29"/>
      <c r="BR225" s="342"/>
      <c r="BS225" s="133"/>
      <c r="BU225" s="113"/>
      <c r="BV225" s="29"/>
      <c r="BW225" s="342"/>
      <c r="BX225" s="133"/>
      <c r="CA225" s="122"/>
      <c r="CB225" s="122"/>
    </row>
    <row r="226" spans="1:111">
      <c r="H226" s="32">
        <v>1.5</v>
      </c>
      <c r="I226" s="59" t="e">
        <f>B$228*'Mix Design'!#REF!+'Mix Design'!#REF!*C$228+D$228*'Mix Design'!#REF!</f>
        <v>#REF!</v>
      </c>
      <c r="J226" s="89" t="e">
        <f>1-I226</f>
        <v>#REF!</v>
      </c>
      <c r="K226" s="58" t="e">
        <f>J226</f>
        <v>#REF!</v>
      </c>
      <c r="BK226" s="113"/>
      <c r="BL226" s="29"/>
      <c r="BM226" s="343"/>
      <c r="BN226" s="270"/>
      <c r="BP226" s="113"/>
      <c r="BQ226" s="29"/>
      <c r="BR226" s="343"/>
      <c r="BS226" s="133"/>
      <c r="BU226" s="113"/>
      <c r="BV226" s="29"/>
      <c r="BW226" s="343"/>
      <c r="BX226" s="133"/>
      <c r="CA226" s="122"/>
      <c r="CB226" s="122"/>
      <c r="CO226" s="29"/>
      <c r="CP226" s="29"/>
      <c r="CQ226" s="29"/>
      <c r="CR226" s="29"/>
      <c r="CS226" s="29"/>
      <c r="CT226" s="29"/>
      <c r="CU226" s="29"/>
      <c r="CV226" s="306"/>
      <c r="CW226" s="29"/>
      <c r="CX226" s="29"/>
      <c r="CY226" s="29"/>
      <c r="CZ226" s="29"/>
      <c r="DA226" s="306"/>
      <c r="DB226" s="29"/>
    </row>
    <row r="227" spans="1:111">
      <c r="B227" s="38" t="s">
        <v>131</v>
      </c>
      <c r="C227" s="39"/>
      <c r="D227" s="40"/>
      <c r="H227" s="32">
        <v>1</v>
      </c>
      <c r="I227" s="59" t="e">
        <f>B$228*'Mix Design'!#REF!+'Mix Design'!#REF!*C$228+D$228*'Mix Design'!#REF!</f>
        <v>#REF!</v>
      </c>
      <c r="J227" s="64" t="e">
        <f>I226-I227</f>
        <v>#REF!</v>
      </c>
      <c r="K227" s="59" t="e">
        <f>K226+J227</f>
        <v>#REF!</v>
      </c>
      <c r="BK227" s="113"/>
      <c r="BL227" s="29"/>
      <c r="BM227" s="343"/>
      <c r="BN227" s="270"/>
      <c r="BP227" s="113"/>
      <c r="BQ227" s="29"/>
      <c r="BR227" s="343"/>
      <c r="BS227" s="133"/>
      <c r="BU227" s="113"/>
      <c r="BV227" s="29"/>
      <c r="BW227" s="343"/>
      <c r="BX227" s="133"/>
      <c r="CA227" s="122"/>
      <c r="CB227" s="122"/>
      <c r="CQ227" s="29"/>
      <c r="CR227" s="29"/>
      <c r="CS227" s="29"/>
      <c r="CT227" s="29"/>
      <c r="CU227" s="29"/>
      <c r="CV227" s="133"/>
      <c r="CW227" s="29"/>
      <c r="CX227" s="29"/>
      <c r="CY227" s="29"/>
      <c r="CZ227" s="29"/>
      <c r="DA227" s="133"/>
      <c r="DB227" s="29"/>
    </row>
    <row r="228" spans="1:111">
      <c r="B228" s="145">
        <f>B225/E225</f>
        <v>0.58183453237410077</v>
      </c>
      <c r="C228" s="145">
        <f>C225/E225</f>
        <v>0</v>
      </c>
      <c r="D228" s="145">
        <f>D225/E225</f>
        <v>0.41816546762589929</v>
      </c>
      <c r="H228" s="32">
        <v>0.75</v>
      </c>
      <c r="I228" s="59" t="e">
        <f>B$228*'Mix Design'!#REF!+'Mix Design'!#REF!*C$228+D$228*'Mix Design'!#REF!</f>
        <v>#REF!</v>
      </c>
      <c r="J228" s="64" t="e">
        <f t="shared" ref="J228:J237" si="14">I227-I228</f>
        <v>#REF!</v>
      </c>
      <c r="K228" s="59" t="e">
        <f t="shared" ref="K228:K237" si="15">K227+J228</f>
        <v>#REF!</v>
      </c>
      <c r="BK228" s="113"/>
      <c r="BL228" s="29"/>
      <c r="BM228" s="343"/>
      <c r="BN228" s="270"/>
      <c r="BP228" s="113"/>
      <c r="BQ228" s="29"/>
      <c r="BR228" s="343"/>
      <c r="BS228" s="270"/>
      <c r="BU228" s="113"/>
      <c r="BV228" s="29"/>
      <c r="BW228" s="343"/>
      <c r="BX228" s="133"/>
      <c r="CA228" s="122"/>
      <c r="CB228" s="122"/>
      <c r="CQ228" s="29"/>
      <c r="CR228" s="29"/>
      <c r="CS228" s="29"/>
      <c r="CT228" s="29"/>
      <c r="CU228" s="29"/>
      <c r="CV228" s="133"/>
      <c r="CW228" s="29"/>
      <c r="CX228" s="29"/>
      <c r="CY228" s="29"/>
      <c r="CZ228" s="29"/>
      <c r="DA228" s="133"/>
      <c r="DB228" s="29"/>
    </row>
    <row r="229" spans="1:111">
      <c r="H229" s="32">
        <v>0.5</v>
      </c>
      <c r="I229" s="59" t="e">
        <f>B$228*'Mix Design'!#REF!+'Mix Design'!#REF!*C$228+D$228*'Mix Design'!#REF!</f>
        <v>#REF!</v>
      </c>
      <c r="J229" s="64" t="e">
        <f t="shared" si="14"/>
        <v>#REF!</v>
      </c>
      <c r="K229" s="59" t="e">
        <f t="shared" si="15"/>
        <v>#REF!</v>
      </c>
      <c r="BK229" s="29"/>
      <c r="BL229" s="29"/>
      <c r="BM229" s="343"/>
      <c r="BN229" s="270"/>
      <c r="BP229" s="29"/>
      <c r="BQ229" s="29"/>
      <c r="BR229" s="343"/>
      <c r="BS229" s="270"/>
      <c r="BU229" s="29"/>
      <c r="BV229" s="29"/>
      <c r="BW229" s="343"/>
      <c r="BX229" s="133"/>
      <c r="CA229" s="122"/>
      <c r="CB229" s="122"/>
      <c r="CQ229" s="29"/>
      <c r="CR229" s="29"/>
      <c r="CS229" s="29"/>
      <c r="CT229" s="29"/>
      <c r="CU229" s="29"/>
      <c r="CV229" s="133"/>
      <c r="CW229" s="29"/>
      <c r="CX229" s="29"/>
      <c r="CY229" s="29"/>
      <c r="CZ229" s="29"/>
      <c r="DA229" s="133"/>
      <c r="DB229" s="29"/>
    </row>
    <row r="230" spans="1:111">
      <c r="H230" s="32">
        <v>0.375</v>
      </c>
      <c r="I230" s="59" t="e">
        <f>B$228*'Mix Design'!#REF!+'Mix Design'!#REF!*C$228+D$228*'Mix Design'!#REF!</f>
        <v>#REF!</v>
      </c>
      <c r="J230" s="64" t="e">
        <f t="shared" si="14"/>
        <v>#REF!</v>
      </c>
      <c r="K230" s="87" t="e">
        <f>K229+J230</f>
        <v>#REF!</v>
      </c>
      <c r="BK230" s="29"/>
      <c r="BL230" s="29"/>
      <c r="BM230" s="343"/>
      <c r="BN230" s="270"/>
      <c r="BP230" s="29"/>
      <c r="BQ230" s="29"/>
      <c r="BR230" s="343"/>
      <c r="BS230" s="270"/>
      <c r="BU230" s="29"/>
      <c r="BV230" s="29"/>
      <c r="BW230" s="343"/>
      <c r="BX230" s="270"/>
      <c r="CA230" s="122"/>
      <c r="CB230" s="122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</row>
    <row r="231" spans="1:111">
      <c r="H231" s="32" t="s">
        <v>11</v>
      </c>
      <c r="I231" s="59" t="e">
        <f>B$228*'Mix Design'!#REF!+'Mix Design'!#REF!*C$228+D$228*'Mix Design'!#REF!</f>
        <v>#REF!</v>
      </c>
      <c r="J231" s="64" t="e">
        <f t="shared" si="14"/>
        <v>#REF!</v>
      </c>
      <c r="K231" s="59" t="e">
        <f t="shared" si="15"/>
        <v>#REF!</v>
      </c>
      <c r="BK231" s="29"/>
      <c r="BL231" s="29"/>
      <c r="BM231" s="343"/>
      <c r="BN231" s="270"/>
      <c r="BP231" s="29"/>
      <c r="BQ231" s="29"/>
      <c r="BR231" s="343"/>
      <c r="BS231" s="270"/>
      <c r="BU231" s="29"/>
      <c r="BV231" s="29"/>
      <c r="BW231" s="343"/>
      <c r="BX231" s="270"/>
      <c r="CA231" s="122"/>
      <c r="CB231" s="122"/>
      <c r="CQ231" s="29"/>
      <c r="CR231" s="29"/>
      <c r="CS231" s="29"/>
      <c r="CT231" s="29"/>
      <c r="CU231" s="29"/>
      <c r="CV231" s="29"/>
      <c r="CW231" s="29"/>
      <c r="CX231" s="29"/>
      <c r="DB231" s="29"/>
      <c r="DC231" s="29"/>
      <c r="DD231" s="29"/>
      <c r="DE231" s="29"/>
      <c r="DF231" s="29"/>
    </row>
    <row r="232" spans="1:111">
      <c r="H232" s="32" t="s">
        <v>12</v>
      </c>
      <c r="I232" s="90" t="e">
        <f>B$228*'Mix Design'!#REF!+'Mix Design'!#REF!*C$228+D$228*'Mix Design'!#REF!</f>
        <v>#REF!</v>
      </c>
      <c r="J232" s="64" t="e">
        <f t="shared" si="14"/>
        <v>#REF!</v>
      </c>
      <c r="K232" s="87" t="e">
        <f t="shared" si="15"/>
        <v>#REF!</v>
      </c>
      <c r="BP232" s="29"/>
      <c r="BQ232" s="29"/>
      <c r="BR232" s="343"/>
      <c r="BS232" s="270"/>
      <c r="BU232" s="29"/>
      <c r="BV232" s="29"/>
      <c r="BW232" s="343"/>
      <c r="BX232" s="270"/>
      <c r="CA232" s="122"/>
      <c r="CB232" s="122"/>
    </row>
    <row r="233" spans="1:111">
      <c r="H233" s="32" t="s">
        <v>13</v>
      </c>
      <c r="I233" s="59" t="e">
        <f>B$228*'Mix Design'!C46+'Mix Design'!#REF!*C$228+D$228*'Mix Design'!#REF!</f>
        <v>#REF!</v>
      </c>
      <c r="J233" s="64" t="e">
        <f t="shared" si="14"/>
        <v>#REF!</v>
      </c>
      <c r="K233" s="59" t="e">
        <f t="shared" si="15"/>
        <v>#REF!</v>
      </c>
      <c r="BM233" s="343"/>
      <c r="BP233" s="29"/>
      <c r="BQ233" s="29"/>
      <c r="BR233" s="343"/>
      <c r="BS233" s="270"/>
      <c r="BU233" s="29"/>
      <c r="BV233" s="29"/>
      <c r="BW233" s="343"/>
      <c r="BX233" s="270"/>
      <c r="CA233" s="122"/>
      <c r="CB233" s="122"/>
    </row>
    <row r="234" spans="1:111">
      <c r="H234" s="32" t="s">
        <v>14</v>
      </c>
      <c r="I234" s="59" t="e">
        <f>B$228*'Mix Design'!C47+'Mix Design'!#REF!*C$228+D$228*'Mix Design'!#REF!</f>
        <v>#REF!</v>
      </c>
      <c r="J234" s="64" t="e">
        <f t="shared" si="14"/>
        <v>#REF!</v>
      </c>
      <c r="K234" s="59" t="e">
        <f t="shared" si="15"/>
        <v>#REF!</v>
      </c>
      <c r="BP234" s="29"/>
      <c r="BQ234" s="29"/>
      <c r="BR234" s="343"/>
      <c r="BS234" s="270"/>
      <c r="BU234" s="29"/>
      <c r="BV234" s="29"/>
      <c r="BW234" s="343"/>
      <c r="BX234" s="270"/>
      <c r="CA234" s="122"/>
      <c r="CB234" s="122"/>
      <c r="CO234" s="29"/>
      <c r="CP234" s="29"/>
      <c r="CQ234" s="29"/>
      <c r="CR234" s="29"/>
      <c r="CS234" s="29"/>
      <c r="CT234" s="29"/>
      <c r="CU234" s="29"/>
      <c r="CV234" s="306"/>
      <c r="CW234" s="29"/>
      <c r="CX234" s="29"/>
      <c r="CY234" s="29"/>
      <c r="DA234" s="29"/>
      <c r="DB234" s="29"/>
      <c r="DC234" s="29"/>
      <c r="DD234" s="29"/>
      <c r="DE234" s="29"/>
      <c r="DF234" s="306"/>
      <c r="DG234" s="29"/>
    </row>
    <row r="235" spans="1:111">
      <c r="H235" s="32" t="s">
        <v>15</v>
      </c>
      <c r="I235" s="59" t="e">
        <f>B$228*'Mix Design'!C48+'Mix Design'!#REF!*C$228+D$228*'Mix Design'!#REF!</f>
        <v>#REF!</v>
      </c>
      <c r="J235" s="64" t="e">
        <f t="shared" si="14"/>
        <v>#REF!</v>
      </c>
      <c r="K235" s="59" t="e">
        <f t="shared" si="15"/>
        <v>#REF!</v>
      </c>
      <c r="BP235" s="29"/>
      <c r="BQ235" s="29"/>
      <c r="BR235" s="343"/>
      <c r="BS235" s="270"/>
      <c r="BU235" s="29"/>
      <c r="BV235" s="29"/>
      <c r="BW235" s="343"/>
      <c r="BX235" s="270"/>
      <c r="CA235" s="122"/>
      <c r="CB235" s="122"/>
      <c r="CQ235" s="29"/>
      <c r="CR235" s="29"/>
      <c r="CS235" s="29"/>
      <c r="CT235" s="29"/>
      <c r="CU235" s="29"/>
      <c r="CV235" s="133"/>
      <c r="CW235" s="29"/>
      <c r="CX235" s="29"/>
      <c r="CY235" s="29"/>
      <c r="DA235" s="29"/>
      <c r="DB235" s="29"/>
      <c r="DC235" s="29"/>
      <c r="DD235" s="29"/>
      <c r="DE235" s="29"/>
      <c r="DF235" s="133"/>
      <c r="DG235" s="29"/>
    </row>
    <row r="236" spans="1:111">
      <c r="H236" s="32" t="s">
        <v>16</v>
      </c>
      <c r="I236" s="59" t="e">
        <f>B$228*'Mix Design'!C49+'Mix Design'!#REF!*C$228+D$228*'Mix Design'!#REF!</f>
        <v>#REF!</v>
      </c>
      <c r="J236" s="64" t="e">
        <f t="shared" si="14"/>
        <v>#REF!</v>
      </c>
      <c r="K236" s="59" t="e">
        <f t="shared" si="15"/>
        <v>#REF!</v>
      </c>
      <c r="BR236" s="343"/>
      <c r="BS236" s="270"/>
      <c r="BW236" s="343"/>
      <c r="BX236" s="270"/>
      <c r="CA236" s="122"/>
      <c r="CB236" s="122"/>
      <c r="CQ236" s="29"/>
      <c r="CR236" s="29"/>
      <c r="CS236" s="29"/>
      <c r="CT236" s="29"/>
      <c r="CU236" s="29"/>
      <c r="CV236" s="133"/>
      <c r="CW236" s="29"/>
      <c r="CX236" s="29"/>
      <c r="CY236" s="29"/>
      <c r="DA236" s="29"/>
      <c r="DB236" s="29"/>
      <c r="DC236" s="29"/>
      <c r="DD236" s="29"/>
      <c r="DE236" s="29"/>
      <c r="DF236" s="133"/>
      <c r="DG236" s="29"/>
    </row>
    <row r="237" spans="1:111">
      <c r="H237" s="33" t="s">
        <v>17</v>
      </c>
      <c r="I237" s="59" t="e">
        <f>B$228*'Mix Design'!#REF!+'Mix Design'!#REF!*C$228+D$228*'Mix Design'!#REF!</f>
        <v>#REF!</v>
      </c>
      <c r="J237" s="64" t="e">
        <f t="shared" si="14"/>
        <v>#REF!</v>
      </c>
      <c r="K237" s="59" t="e">
        <f t="shared" si="15"/>
        <v>#REF!</v>
      </c>
      <c r="BW237" s="122"/>
      <c r="CA237" s="122"/>
      <c r="CQ237" s="29"/>
      <c r="CR237" s="29"/>
      <c r="CS237" s="29"/>
      <c r="CT237" s="29"/>
      <c r="CU237" s="29"/>
      <c r="CV237" s="133"/>
      <c r="CW237" s="29"/>
      <c r="CX237" s="29"/>
      <c r="CY237" s="29"/>
      <c r="DA237" s="29"/>
      <c r="DB237" s="29"/>
      <c r="DC237" s="29"/>
      <c r="DD237" s="29"/>
      <c r="DE237" s="29"/>
      <c r="DF237" s="133"/>
      <c r="DG237" s="29"/>
    </row>
    <row r="238" spans="1:111">
      <c r="AD238" s="368"/>
      <c r="AE238" s="368"/>
      <c r="AF238" s="368"/>
      <c r="AG238" s="368"/>
      <c r="AM238" s="29"/>
      <c r="AN238" s="113"/>
      <c r="AO238" s="113"/>
      <c r="AP238" s="113"/>
      <c r="BU238" s="133"/>
      <c r="BV238" s="154"/>
      <c r="BW238" s="133"/>
      <c r="BX238" s="29"/>
      <c r="BY238" s="289"/>
      <c r="CA238" s="214"/>
      <c r="CB238" s="223"/>
      <c r="CK238" s="29"/>
    </row>
    <row r="239" spans="1:111">
      <c r="AD239" s="368"/>
      <c r="AE239" s="368"/>
      <c r="AF239" s="368"/>
      <c r="AG239" s="368"/>
      <c r="AJ239" s="153"/>
      <c r="AM239" s="29"/>
      <c r="AN239" s="71"/>
      <c r="AO239" s="71"/>
      <c r="AP239" s="71"/>
      <c r="AQ239" s="154"/>
      <c r="BU239" s="133"/>
      <c r="BV239" s="154"/>
      <c r="BW239" s="133"/>
      <c r="BX239" s="29"/>
      <c r="BY239" s="289"/>
      <c r="CA239" s="214"/>
      <c r="CB239" s="223"/>
      <c r="CK239" s="113"/>
    </row>
    <row r="240" spans="1:111">
      <c r="AD240" s="368"/>
      <c r="AE240" s="368"/>
      <c r="AF240" s="368"/>
      <c r="AG240" s="368"/>
      <c r="AI240" s="49"/>
      <c r="AJ240" s="72"/>
      <c r="AM240" s="29"/>
      <c r="AN240" s="71"/>
      <c r="AO240" s="71"/>
      <c r="AP240" s="71"/>
      <c r="BU240" s="122"/>
      <c r="BV240" s="154"/>
      <c r="BW240" s="117"/>
      <c r="BY240" s="346"/>
      <c r="CK240" s="29"/>
    </row>
    <row r="241" spans="20:89">
      <c r="AD241" s="368"/>
      <c r="AE241" s="368"/>
      <c r="AF241" s="368"/>
      <c r="AG241" s="368"/>
      <c r="AI241" s="49"/>
      <c r="AJ241" s="29"/>
      <c r="BW241" s="29"/>
      <c r="BX241" s="29"/>
      <c r="CK241" s="29"/>
    </row>
    <row r="242" spans="20:89">
      <c r="AN242" s="29"/>
      <c r="CK242" s="29"/>
    </row>
    <row r="243" spans="20:89">
      <c r="AM243" s="49"/>
      <c r="AN243" s="117"/>
      <c r="CK243" s="29"/>
    </row>
    <row r="244" spans="20:89">
      <c r="AI244" s="49"/>
      <c r="AJ244" s="71"/>
      <c r="AN244" s="71"/>
      <c r="BU244" s="29"/>
      <c r="BW244" s="223"/>
      <c r="BX244" s="223"/>
      <c r="CK244" s="29"/>
    </row>
    <row r="246" spans="20:89">
      <c r="AM246" s="49"/>
      <c r="AN246" s="113"/>
    </row>
    <row r="247" spans="20:89">
      <c r="AJ247" s="127"/>
      <c r="AM247" s="49"/>
      <c r="AN247" s="71"/>
    </row>
    <row r="248" spans="20:89">
      <c r="BO248" s="29"/>
      <c r="BP248" s="29"/>
      <c r="BQ248" s="29"/>
      <c r="BR248" s="29"/>
      <c r="BX248" s="252"/>
      <c r="BZ248" s="29"/>
    </row>
    <row r="249" spans="20:89">
      <c r="Y249" s="155"/>
      <c r="Z249" s="155"/>
      <c r="AA249" s="155"/>
      <c r="AB249" s="155"/>
      <c r="BU249" s="345"/>
      <c r="BV249" s="154"/>
      <c r="BX249" s="252"/>
      <c r="BY249" s="289"/>
      <c r="BZ249" s="223"/>
    </row>
    <row r="250" spans="20:89">
      <c r="T250" s="3"/>
      <c r="U250" s="3"/>
      <c r="V250" s="3"/>
      <c r="W250" s="3"/>
      <c r="Z250" s="156"/>
      <c r="AA250" s="156"/>
      <c r="AB250" s="156"/>
      <c r="AF250" s="153"/>
      <c r="AG250" s="153"/>
      <c r="BS250" s="1"/>
      <c r="BU250" s="133"/>
      <c r="BV250" s="154"/>
      <c r="BX250" s="29"/>
      <c r="BY250" s="289"/>
      <c r="BZ250" s="223"/>
    </row>
    <row r="251" spans="20:89">
      <c r="Y251" s="157"/>
      <c r="AK251" s="49"/>
      <c r="AL251" s="113"/>
      <c r="BU251" s="133"/>
      <c r="BV251" s="154"/>
      <c r="BX251" s="29"/>
      <c r="BY251" s="289"/>
      <c r="BZ251" s="223"/>
    </row>
    <row r="252" spans="20:89">
      <c r="Y252" s="29"/>
      <c r="Z252" s="72"/>
      <c r="AA252" s="71"/>
      <c r="AB252" s="72"/>
      <c r="AG252" s="29"/>
      <c r="AH252" s="29"/>
      <c r="AL252" s="127"/>
      <c r="AM252" s="49"/>
      <c r="BU252" s="122"/>
      <c r="BV252" s="154"/>
      <c r="BX252" s="29"/>
    </row>
    <row r="253" spans="20:89">
      <c r="T253" s="158"/>
      <c r="U253" s="158"/>
      <c r="V253" s="158"/>
      <c r="Y253" s="29"/>
      <c r="Z253" s="72"/>
      <c r="AA253" s="71"/>
      <c r="AB253" s="72"/>
      <c r="AF253" s="49"/>
      <c r="AG253" s="113"/>
      <c r="AH253" s="113"/>
    </row>
    <row r="254" spans="20:89">
      <c r="T254" s="127"/>
      <c r="U254" s="127"/>
      <c r="V254" s="127"/>
      <c r="Y254" s="29"/>
      <c r="Z254" s="72"/>
      <c r="AA254" s="71"/>
      <c r="AB254" s="72"/>
      <c r="AF254" s="49"/>
      <c r="AG254" s="71"/>
      <c r="AH254" s="71"/>
      <c r="BU254" s="29"/>
      <c r="BV254" s="29"/>
      <c r="BW254" s="223"/>
      <c r="BX254" s="223"/>
    </row>
    <row r="255" spans="20:89">
      <c r="Y255" s="29"/>
      <c r="Z255" s="72"/>
      <c r="AA255" s="71"/>
      <c r="AB255" s="72"/>
      <c r="AJ255" s="29"/>
      <c r="AK255" s="71"/>
      <c r="AL255" s="71"/>
      <c r="AM255" s="127"/>
    </row>
    <row r="256" spans="20:89">
      <c r="Y256" s="29"/>
      <c r="Z256" s="72"/>
      <c r="AA256" s="71"/>
      <c r="AB256" s="72"/>
    </row>
    <row r="257" spans="25:55">
      <c r="Y257" s="29"/>
      <c r="Z257" s="72"/>
      <c r="AA257" s="71"/>
      <c r="AB257" s="72"/>
      <c r="AF257" s="156"/>
      <c r="AG257" s="156"/>
      <c r="AH257" s="159"/>
    </row>
    <row r="258" spans="25:55">
      <c r="Y258" s="29"/>
      <c r="Z258" s="72"/>
      <c r="AA258" s="71"/>
      <c r="AB258" s="72"/>
      <c r="AM258" s="29"/>
      <c r="AN258" s="71"/>
    </row>
    <row r="259" spans="25:55">
      <c r="Y259" s="29"/>
      <c r="Z259" s="72"/>
      <c r="AA259" s="71"/>
      <c r="AB259" s="72"/>
      <c r="AM259" s="29"/>
      <c r="AN259" s="71"/>
    </row>
    <row r="260" spans="25:55">
      <c r="Y260" s="29"/>
      <c r="Z260" s="72"/>
      <c r="AA260" s="71"/>
      <c r="AB260" s="72"/>
      <c r="AG260" s="160"/>
      <c r="AK260" s="153"/>
    </row>
    <row r="261" spans="25:55">
      <c r="Y261" s="29"/>
      <c r="Z261" s="72"/>
      <c r="AA261" s="71"/>
      <c r="AB261" s="72"/>
      <c r="AH261" s="71"/>
    </row>
    <row r="262" spans="25:55">
      <c r="Y262" s="29"/>
      <c r="Z262" s="72"/>
      <c r="AA262" s="71"/>
      <c r="AB262" s="72"/>
      <c r="AF262" s="113"/>
      <c r="AG262" s="71"/>
      <c r="AH262" s="71"/>
      <c r="AI262" s="71"/>
      <c r="AJ262" s="71"/>
      <c r="AK262" s="113"/>
      <c r="AL262" s="113"/>
    </row>
    <row r="263" spans="25:55">
      <c r="Y263" s="29"/>
      <c r="Z263" s="72"/>
      <c r="AA263" s="71"/>
      <c r="AB263" s="72"/>
      <c r="AF263" s="71"/>
      <c r="AG263" s="71"/>
      <c r="AI263" s="71"/>
      <c r="AJ263" s="71"/>
      <c r="AK263" s="127"/>
      <c r="AL263" s="71"/>
    </row>
    <row r="264" spans="25:55">
      <c r="AF264" s="117"/>
      <c r="AG264" s="117"/>
      <c r="AI264" s="29"/>
      <c r="AJ264" s="29"/>
      <c r="AK264" s="122"/>
      <c r="AL264" s="122"/>
      <c r="AV264" s="29"/>
      <c r="AW264" s="29"/>
      <c r="AZ264" s="29"/>
      <c r="BC264" s="29"/>
    </row>
    <row r="265" spans="25:55">
      <c r="AF265" s="49"/>
      <c r="AV265" s="29"/>
      <c r="AW265" s="72"/>
      <c r="AZ265" s="29"/>
      <c r="BA265" s="81"/>
      <c r="BB265" s="81"/>
      <c r="BC265" s="29"/>
    </row>
    <row r="266" spans="25:55">
      <c r="AV266" s="29"/>
      <c r="AW266" s="72"/>
    </row>
    <row r="267" spans="25:55">
      <c r="AF267" s="161"/>
      <c r="AG267" s="161"/>
    </row>
    <row r="269" spans="25:55">
      <c r="AF269" s="29"/>
      <c r="AG269" s="72"/>
    </row>
    <row r="270" spans="25:55">
      <c r="AF270" s="29"/>
      <c r="AG270" s="72"/>
    </row>
    <row r="271" spans="25:55">
      <c r="AF271" s="29"/>
      <c r="AG271" s="72"/>
    </row>
  </sheetData>
  <mergeCells count="5">
    <mergeCell ref="AC56:AC57"/>
    <mergeCell ref="AD56:AD57"/>
    <mergeCell ref="AE56:AE57"/>
    <mergeCell ref="AF56:AF57"/>
    <mergeCell ref="AG56:AG57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3:CI246"/>
  <sheetViews>
    <sheetView workbookViewId="0">
      <pane xSplit="18960" topLeftCell="BJ1" activePane="topRight"/>
      <selection activeCell="F22" sqref="F22:F23"/>
      <selection pane="topRight" activeCell="BK20" sqref="BK20:BK21"/>
    </sheetView>
  </sheetViews>
  <sheetFormatPr defaultColWidth="8.54296875" defaultRowHeight="14.5"/>
  <cols>
    <col min="9" max="9" width="10.453125" style="29" customWidth="1"/>
    <col min="48" max="48" width="11.453125" customWidth="1"/>
    <col min="70" max="70" width="18.54296875" customWidth="1"/>
    <col min="74" max="74" width="11.453125" customWidth="1"/>
    <col min="78" max="78" width="12.453125" customWidth="1"/>
  </cols>
  <sheetData>
    <row r="3" spans="25:78">
      <c r="AS3" s="214"/>
      <c r="AT3" s="214"/>
      <c r="AU3" s="214"/>
      <c r="AV3" s="214"/>
      <c r="AW3" s="134"/>
    </row>
    <row r="4" spans="25:78">
      <c r="Y4" s="214"/>
      <c r="Z4" s="214"/>
      <c r="AA4" s="214"/>
      <c r="AB4" s="214"/>
      <c r="AC4" s="134"/>
      <c r="AS4" s="214"/>
      <c r="AT4" s="214"/>
      <c r="AU4" s="214"/>
      <c r="AV4" s="214"/>
      <c r="AW4" s="134"/>
    </row>
    <row r="5" spans="25:78">
      <c r="Y5" s="214"/>
      <c r="Z5" s="214"/>
      <c r="AA5" s="214"/>
      <c r="AB5" s="214"/>
      <c r="AC5" s="134"/>
      <c r="AS5" s="214"/>
      <c r="AT5" s="214"/>
      <c r="AU5" s="214"/>
      <c r="AV5" s="214"/>
      <c r="AW5" s="134"/>
    </row>
    <row r="6" spans="25:78">
      <c r="Y6" s="214"/>
      <c r="Z6" s="214"/>
      <c r="AA6" s="214"/>
      <c r="AB6" s="214"/>
      <c r="AC6" s="134"/>
      <c r="AS6" s="214"/>
      <c r="AT6" s="214"/>
      <c r="AU6" s="214"/>
      <c r="AV6" s="214"/>
      <c r="AW6" s="134"/>
    </row>
    <row r="7" spans="25:78">
      <c r="Y7" s="214"/>
      <c r="Z7" s="214"/>
      <c r="AA7" s="214"/>
      <c r="AB7" s="214"/>
      <c r="AC7" s="134"/>
      <c r="AS7" s="214"/>
      <c r="AT7" s="214"/>
      <c r="AU7" s="214"/>
      <c r="AV7" s="214"/>
      <c r="AW7" s="134"/>
    </row>
    <row r="8" spans="25:78">
      <c r="Y8" s="214"/>
      <c r="Z8" s="214"/>
      <c r="AA8" s="214"/>
      <c r="AB8" s="214"/>
      <c r="AC8" s="134"/>
    </row>
    <row r="9" spans="25:78">
      <c r="Y9" s="214"/>
      <c r="Z9" s="214"/>
      <c r="AA9" s="214"/>
      <c r="AB9" s="214"/>
      <c r="AC9" s="134"/>
      <c r="AU9" s="29"/>
      <c r="AV9" s="29"/>
    </row>
    <row r="10" spans="25:78">
      <c r="Y10" s="214"/>
      <c r="Z10" s="214"/>
      <c r="AA10" s="214"/>
      <c r="AB10" s="214"/>
      <c r="AC10" s="134"/>
      <c r="AU10" s="72"/>
      <c r="AV10" s="72"/>
      <c r="AW10" s="214"/>
      <c r="AX10" s="214"/>
      <c r="AY10" s="214"/>
      <c r="AZ10" s="214"/>
      <c r="BA10" s="214"/>
    </row>
    <row r="11" spans="25:78">
      <c r="Y11" s="214"/>
      <c r="Z11" s="214"/>
      <c r="AA11" s="214"/>
      <c r="AB11" s="214"/>
      <c r="AC11" s="134"/>
      <c r="AU11" s="72"/>
      <c r="AV11" s="72"/>
      <c r="AW11" s="214"/>
      <c r="AX11" s="214"/>
      <c r="AY11" s="214"/>
      <c r="AZ11" s="214"/>
    </row>
    <row r="12" spans="25:78">
      <c r="Y12" s="214"/>
      <c r="Z12" s="214"/>
      <c r="AA12" s="214"/>
      <c r="AB12" s="214"/>
      <c r="AC12" s="134"/>
      <c r="AU12" s="72"/>
      <c r="AV12" s="72"/>
      <c r="AW12" s="214"/>
      <c r="AX12" s="214"/>
      <c r="AY12" s="214"/>
      <c r="AZ12" s="214"/>
    </row>
    <row r="13" spans="25:78">
      <c r="Y13" s="214"/>
      <c r="Z13" s="214"/>
      <c r="AA13" s="214"/>
      <c r="AB13" s="214"/>
      <c r="AC13" s="134"/>
      <c r="AU13" s="72"/>
      <c r="AV13" s="72"/>
      <c r="AW13" s="214"/>
      <c r="AX13" s="214"/>
      <c r="AY13" s="214"/>
      <c r="AZ13" s="214"/>
    </row>
    <row r="14" spans="25:78">
      <c r="AU14" s="72"/>
      <c r="AV14" s="72"/>
      <c r="AW14" s="214"/>
      <c r="AX14" s="214"/>
      <c r="AY14" s="214"/>
      <c r="AZ14" s="214"/>
    </row>
    <row r="15" spans="25:78">
      <c r="AU15" s="72"/>
      <c r="AV15" s="72"/>
      <c r="AW15" s="214"/>
      <c r="AX15" s="214"/>
      <c r="AY15" s="214"/>
      <c r="AZ15" s="214"/>
    </row>
    <row r="16" spans="25:78" ht="15" thickBot="1">
      <c r="AU16" s="72"/>
      <c r="AV16" s="72"/>
      <c r="AW16" s="214"/>
      <c r="AX16" s="214"/>
      <c r="AY16" s="214"/>
      <c r="AZ16" s="214"/>
      <c r="BQ16" s="272" t="s">
        <v>88</v>
      </c>
      <c r="BR16" s="273" t="s">
        <v>89</v>
      </c>
      <c r="BS16" s="274" t="s">
        <v>90</v>
      </c>
      <c r="BT16" s="275"/>
      <c r="BU16" s="276"/>
      <c r="BV16" s="277" t="s">
        <v>91</v>
      </c>
      <c r="BZ16" s="29"/>
    </row>
    <row r="17" spans="1:87" ht="15" thickBot="1">
      <c r="AU17" s="72"/>
      <c r="AV17" s="72"/>
      <c r="AW17" s="214"/>
      <c r="AX17" s="214"/>
      <c r="AY17" s="214"/>
      <c r="AZ17" s="214"/>
      <c r="BQ17" s="278" t="s">
        <v>92</v>
      </c>
      <c r="BR17" s="279" t="s">
        <v>93</v>
      </c>
      <c r="BS17" s="279" t="s">
        <v>94</v>
      </c>
      <c r="BT17" s="279" t="s">
        <v>0</v>
      </c>
      <c r="BU17" s="279" t="s">
        <v>95</v>
      </c>
      <c r="BV17" s="279" t="s">
        <v>96</v>
      </c>
      <c r="BW17" s="280" t="s">
        <v>132</v>
      </c>
      <c r="BX17" s="281" t="s">
        <v>133</v>
      </c>
      <c r="BY17" s="290" t="s">
        <v>134</v>
      </c>
      <c r="BZ17" s="291" t="s">
        <v>135</v>
      </c>
      <c r="CI17" s="22" t="s">
        <v>136</v>
      </c>
    </row>
    <row r="18" spans="1:87" ht="15" thickBot="1">
      <c r="N18" s="50"/>
      <c r="O18" s="50"/>
      <c r="AU18" s="72"/>
      <c r="AV18" s="72"/>
      <c r="AW18" s="214"/>
      <c r="AX18" s="214"/>
      <c r="AY18" s="214"/>
      <c r="AZ18" s="214"/>
      <c r="BQ18" s="282">
        <v>1</v>
      </c>
      <c r="BR18" s="283" t="s">
        <v>98</v>
      </c>
      <c r="BS18" s="284">
        <v>0.75</v>
      </c>
      <c r="BT18" s="284">
        <v>0.25</v>
      </c>
      <c r="BU18" s="284"/>
      <c r="BV18" s="285">
        <v>108.02666666666669</v>
      </c>
      <c r="BW18">
        <v>27.006666666666671</v>
      </c>
      <c r="BX18">
        <v>0.16332043218835673</v>
      </c>
      <c r="BY18" s="286">
        <v>0.65328172875342694</v>
      </c>
      <c r="BZ18" s="134">
        <f t="shared" ref="BZ18:BZ60" si="0">1-BY18</f>
        <v>0.34671827124657306</v>
      </c>
      <c r="CF18" s="11" t="s">
        <v>105</v>
      </c>
      <c r="CG18" s="11" t="s">
        <v>106</v>
      </c>
      <c r="CI18" s="121" t="s">
        <v>137</v>
      </c>
    </row>
    <row r="19" spans="1:87" ht="15" thickBot="1">
      <c r="AU19" s="72"/>
      <c r="AV19" s="72"/>
      <c r="AW19" s="214"/>
      <c r="AX19" s="214"/>
      <c r="AY19" s="214"/>
      <c r="AZ19" s="214"/>
      <c r="BQ19" s="282">
        <v>2</v>
      </c>
      <c r="BR19" s="283" t="s">
        <v>100</v>
      </c>
      <c r="BS19" s="284">
        <v>1</v>
      </c>
      <c r="BT19" s="284"/>
      <c r="BU19" s="284"/>
      <c r="BV19" s="285">
        <v>100.85333333333335</v>
      </c>
      <c r="BW19">
        <v>25.213333333333338</v>
      </c>
      <c r="BX19">
        <v>0.15247540719238836</v>
      </c>
      <c r="BY19" s="251">
        <v>0.60990162876955345</v>
      </c>
      <c r="BZ19" s="134">
        <f t="shared" si="0"/>
        <v>0.39009837123044655</v>
      </c>
      <c r="CB19" s="292">
        <v>0.48447478528958382</v>
      </c>
      <c r="CC19" s="292">
        <v>0.19951552521471044</v>
      </c>
      <c r="CD19" s="292">
        <v>0.31490861043822949</v>
      </c>
      <c r="CE19" s="190">
        <v>132.02666666666667</v>
      </c>
      <c r="CF19" s="215">
        <v>0.55856166329815216</v>
      </c>
      <c r="CG19" s="215">
        <v>0.26675413378132928</v>
      </c>
      <c r="CH19" s="302">
        <v>0.79841960974036452</v>
      </c>
      <c r="CI19" s="51">
        <f t="shared" ref="CI19:CI32" si="1">1-CH19</f>
        <v>0.20158039025963548</v>
      </c>
    </row>
    <row r="20" spans="1:87" ht="15" thickBot="1">
      <c r="AU20" s="72"/>
      <c r="AV20" s="72"/>
      <c r="AW20" s="214"/>
      <c r="AX20" s="214"/>
      <c r="AY20" s="214"/>
      <c r="AZ20" s="214"/>
      <c r="BQ20" s="282">
        <v>3</v>
      </c>
      <c r="BR20" s="283" t="s">
        <v>0</v>
      </c>
      <c r="BS20" s="284"/>
      <c r="BT20" s="284">
        <v>1</v>
      </c>
      <c r="BU20" s="284"/>
      <c r="BV20" s="285">
        <v>101.89333333333333</v>
      </c>
      <c r="BW20">
        <v>25.473333333333333</v>
      </c>
      <c r="BX20">
        <v>0.15404773423641349</v>
      </c>
      <c r="BY20" s="251">
        <v>0.61619093694565397</v>
      </c>
      <c r="BZ20" s="134">
        <f t="shared" si="0"/>
        <v>0.38380906305434603</v>
      </c>
      <c r="CB20" s="292">
        <v>0.48479506390480392</v>
      </c>
      <c r="CC20" s="292">
        <v>0.16923754958131337</v>
      </c>
      <c r="CD20" s="292">
        <v>0.34596738651388281</v>
      </c>
      <c r="CE20" s="190">
        <v>133.65333333333334</v>
      </c>
      <c r="CF20" s="215">
        <v>0.57763635880680286</v>
      </c>
      <c r="CG20" s="215">
        <v>0.29085126239152748</v>
      </c>
      <c r="CH20" s="303">
        <v>0.80825673278503474</v>
      </c>
      <c r="CI20" s="300">
        <f t="shared" si="1"/>
        <v>0.19174326721496526</v>
      </c>
    </row>
    <row r="21" spans="1:87" ht="15" thickBot="1">
      <c r="AU21" s="72"/>
      <c r="AV21" s="72"/>
      <c r="AW21" s="214"/>
      <c r="AX21" s="214"/>
      <c r="AY21" s="214"/>
      <c r="AZ21" s="214"/>
      <c r="BQ21" s="282">
        <v>4</v>
      </c>
      <c r="BR21" s="283" t="s">
        <v>101</v>
      </c>
      <c r="BS21" s="284"/>
      <c r="BT21" s="284"/>
      <c r="BU21" s="284">
        <v>1</v>
      </c>
      <c r="BV21" s="285">
        <v>111.76</v>
      </c>
      <c r="BW21">
        <v>27.94</v>
      </c>
      <c r="BX21">
        <v>0.16896468311562654</v>
      </c>
      <c r="BY21" s="251">
        <v>0.67585873246250616</v>
      </c>
      <c r="BZ21" s="134">
        <f t="shared" si="0"/>
        <v>0.32414126753749384</v>
      </c>
      <c r="CB21" s="293">
        <v>0.45372050816696918</v>
      </c>
      <c r="CC21" s="293">
        <v>0.19918330308529944</v>
      </c>
      <c r="CD21" s="293">
        <v>0.3470961887477314</v>
      </c>
      <c r="CE21" s="193">
        <v>131.49333333333334</v>
      </c>
      <c r="CF21" s="215">
        <v>0.54342120395432714</v>
      </c>
      <c r="CG21" s="215">
        <v>0.29428456752433269</v>
      </c>
      <c r="CH21" s="303">
        <v>0.79519432349621033</v>
      </c>
      <c r="CI21" s="300">
        <f t="shared" si="1"/>
        <v>0.20480567650378967</v>
      </c>
    </row>
    <row r="22" spans="1:87">
      <c r="AU22" s="72"/>
      <c r="AV22" s="72"/>
      <c r="AW22" s="214"/>
      <c r="AX22" s="214"/>
      <c r="AY22" s="214"/>
      <c r="AZ22" s="214"/>
      <c r="BQ22" s="282">
        <v>5</v>
      </c>
      <c r="BR22" s="283" t="s">
        <v>98</v>
      </c>
      <c r="BS22" s="284">
        <v>0.73529411764705888</v>
      </c>
      <c r="BT22" s="284">
        <v>0.26470588235294112</v>
      </c>
      <c r="BU22" s="284"/>
      <c r="BV22" s="285">
        <v>107.2</v>
      </c>
      <c r="BW22">
        <v>26.8</v>
      </c>
      <c r="BX22">
        <v>0.162070633768747</v>
      </c>
      <c r="BY22" s="286">
        <v>0.64828253507498801</v>
      </c>
      <c r="BZ22" s="134">
        <f t="shared" si="0"/>
        <v>0.35171746492501199</v>
      </c>
      <c r="CB22" s="294">
        <v>0.45392646391284608</v>
      </c>
      <c r="CC22" s="294">
        <v>0.1693145710394916</v>
      </c>
      <c r="CD22" s="294">
        <v>0.37675896504766226</v>
      </c>
      <c r="CE22" s="199">
        <v>131.09333333333333</v>
      </c>
      <c r="CF22" s="215">
        <v>0.56253188891860884</v>
      </c>
      <c r="CG22" s="215">
        <v>0.31721412851042335</v>
      </c>
      <c r="CH22" s="303">
        <v>0.79277535881309469</v>
      </c>
      <c r="CI22" s="300">
        <f t="shared" si="1"/>
        <v>0.20722464118690531</v>
      </c>
    </row>
    <row r="23" spans="1:87">
      <c r="AU23" s="72"/>
      <c r="AV23" s="72"/>
      <c r="AW23" s="214"/>
      <c r="AX23" s="214"/>
      <c r="AY23" s="214"/>
      <c r="AZ23" s="214"/>
      <c r="BQ23" s="282">
        <v>6</v>
      </c>
      <c r="BR23" s="283" t="s">
        <v>98</v>
      </c>
      <c r="BS23" s="284">
        <v>0.65789473684210531</v>
      </c>
      <c r="BT23" s="284">
        <v>0.34210526315789475</v>
      </c>
      <c r="BU23" s="284"/>
      <c r="BV23" s="285">
        <v>106.38666666666667</v>
      </c>
      <c r="BW23">
        <v>26.596666666666668</v>
      </c>
      <c r="BX23">
        <v>0.16084099338816324</v>
      </c>
      <c r="BY23" s="286">
        <v>0.64336397355265296</v>
      </c>
      <c r="BZ23" s="134">
        <f t="shared" si="0"/>
        <v>0.35663602644734704</v>
      </c>
      <c r="CB23" s="292">
        <v>0.42390843577787196</v>
      </c>
      <c r="CC23" s="292">
        <v>0.19923696481559983</v>
      </c>
      <c r="CD23" s="292">
        <v>0.37685459940652821</v>
      </c>
      <c r="CE23" s="190">
        <v>130.16</v>
      </c>
      <c r="CF23" s="215">
        <v>0.52746843688890843</v>
      </c>
      <c r="CG23" s="215">
        <v>0.31976115336472843</v>
      </c>
      <c r="CH23" s="303">
        <v>0.81438477664892772</v>
      </c>
      <c r="CI23" s="300">
        <f t="shared" si="1"/>
        <v>0.18561522335107228</v>
      </c>
    </row>
    <row r="24" spans="1:87">
      <c r="AB24" s="127" t="e">
        <f>#REF!</f>
        <v>#REF!</v>
      </c>
      <c r="AD24" s="78" t="s">
        <v>102</v>
      </c>
      <c r="AE24" s="11" t="s">
        <v>51</v>
      </c>
      <c r="AH24" s="7" t="s">
        <v>99</v>
      </c>
      <c r="AI24" s="27" t="s">
        <v>103</v>
      </c>
      <c r="AJ24" s="27" t="s">
        <v>30</v>
      </c>
      <c r="AL24" s="201">
        <v>0.61085972850678727</v>
      </c>
      <c r="AM24" s="201">
        <v>0</v>
      </c>
      <c r="AN24" s="201">
        <v>0.38914027149321262</v>
      </c>
      <c r="AP24" s="201">
        <v>133.14666666666668</v>
      </c>
      <c r="AR24" s="126">
        <v>0.34238319373504122</v>
      </c>
      <c r="AU24" s="223"/>
      <c r="AV24" s="223"/>
      <c r="AW24" s="214"/>
      <c r="AX24" s="214"/>
      <c r="AY24" s="214"/>
      <c r="AZ24" s="214"/>
      <c r="BA24" s="134"/>
      <c r="BQ24" s="282">
        <v>7</v>
      </c>
      <c r="BR24" s="283" t="s">
        <v>98</v>
      </c>
      <c r="BS24" s="284">
        <v>0.80645161290322587</v>
      </c>
      <c r="BT24" s="284">
        <v>0.19354838709677419</v>
      </c>
      <c r="BU24" s="284"/>
      <c r="BV24" s="285">
        <v>105.45333333333333</v>
      </c>
      <c r="BW24">
        <v>26.363333333333333</v>
      </c>
      <c r="BX24">
        <v>0.15942993065634578</v>
      </c>
      <c r="BY24" s="286">
        <v>0.63771972262538312</v>
      </c>
      <c r="BZ24" s="134">
        <f t="shared" si="0"/>
        <v>0.36228027737461688</v>
      </c>
      <c r="CB24" s="292">
        <v>0.4533091568449682</v>
      </c>
      <c r="CC24" s="292">
        <v>0.13871260199456029</v>
      </c>
      <c r="CD24" s="292">
        <v>0.40797824116047138</v>
      </c>
      <c r="CE24" s="190">
        <v>132.48000000000002</v>
      </c>
      <c r="CF24" s="215">
        <v>0.58313792558127309</v>
      </c>
      <c r="CG24" s="215">
        <v>0.34141559127621851</v>
      </c>
      <c r="CH24" s="303">
        <v>0.80116110304789567</v>
      </c>
      <c r="CI24" s="300">
        <f t="shared" si="1"/>
        <v>0.19883889695210433</v>
      </c>
    </row>
    <row r="25" spans="1:87">
      <c r="J25" s="78" t="s">
        <v>102</v>
      </c>
      <c r="K25" s="11" t="s">
        <v>51</v>
      </c>
      <c r="M25" s="7" t="s">
        <v>99</v>
      </c>
      <c r="N25" s="27" t="s">
        <v>103</v>
      </c>
      <c r="O25" s="27" t="s">
        <v>30</v>
      </c>
      <c r="Q25" s="190">
        <v>0.48447478528958382</v>
      </c>
      <c r="R25" s="190">
        <v>0.19951552521471044</v>
      </c>
      <c r="S25" s="190">
        <v>0.31490861043822949</v>
      </c>
      <c r="U25" s="190">
        <v>132.02666666666667</v>
      </c>
      <c r="AD25" s="11" t="s">
        <v>105</v>
      </c>
      <c r="AE25" s="128">
        <v>0.75295277138654582</v>
      </c>
      <c r="AH25" s="11">
        <v>2</v>
      </c>
      <c r="AI25" s="99">
        <v>470</v>
      </c>
      <c r="AJ25" s="123">
        <v>0</v>
      </c>
      <c r="AU25" s="223"/>
      <c r="AV25" s="223"/>
      <c r="AW25" s="214"/>
      <c r="AX25" s="214"/>
      <c r="AY25" s="214"/>
      <c r="AZ25" s="214"/>
      <c r="BA25" s="134"/>
      <c r="BQ25" s="282">
        <v>8</v>
      </c>
      <c r="BR25" s="283" t="s">
        <v>98</v>
      </c>
      <c r="BS25" s="284">
        <v>0.87719298245614041</v>
      </c>
      <c r="BT25" s="284">
        <v>0.12280701754385967</v>
      </c>
      <c r="BU25" s="284"/>
      <c r="BV25" s="285">
        <v>104.04</v>
      </c>
      <c r="BW25">
        <v>26.01</v>
      </c>
      <c r="BX25">
        <v>0.15729317851959365</v>
      </c>
      <c r="BY25" s="286">
        <v>0.62917271407837461</v>
      </c>
      <c r="BZ25" s="134">
        <f t="shared" si="0"/>
        <v>0.37082728592162539</v>
      </c>
      <c r="CB25" s="292">
        <v>0.42390843577787196</v>
      </c>
      <c r="CC25" s="292">
        <v>0.16913946587537093</v>
      </c>
      <c r="CD25" s="292">
        <v>0.40695209834675711</v>
      </c>
      <c r="CE25" s="190">
        <v>135.62666666666669</v>
      </c>
      <c r="CF25" s="215">
        <v>0.54680540434311609</v>
      </c>
      <c r="CG25" s="215">
        <v>0.34304397478921717</v>
      </c>
      <c r="CH25" s="303">
        <v>0.82019029188840531</v>
      </c>
      <c r="CI25" s="300">
        <f t="shared" si="1"/>
        <v>0.17980970811159469</v>
      </c>
    </row>
    <row r="26" spans="1:87" ht="15" thickBot="1">
      <c r="J26" s="11" t="s">
        <v>105</v>
      </c>
      <c r="K26" s="128">
        <v>0.55856166329815216</v>
      </c>
      <c r="M26" s="11"/>
      <c r="N26" s="99">
        <v>470</v>
      </c>
      <c r="O26" s="123">
        <v>0</v>
      </c>
      <c r="AD26" s="11" t="s">
        <v>106</v>
      </c>
      <c r="AE26" s="128">
        <v>0.31386306587748147</v>
      </c>
      <c r="BQ26" s="282">
        <v>9</v>
      </c>
      <c r="BR26" s="283" t="s">
        <v>98</v>
      </c>
      <c r="BS26" s="284">
        <v>0.75187969924812026</v>
      </c>
      <c r="BT26" s="284">
        <v>0.24812030075187969</v>
      </c>
      <c r="BU26" s="284"/>
      <c r="BV26" s="285">
        <v>108.66666666666667</v>
      </c>
      <c r="BW26">
        <v>27.166666666666668</v>
      </c>
      <c r="BX26">
        <v>0.16428801806160298</v>
      </c>
      <c r="BY26" s="286">
        <v>0.65715207224641192</v>
      </c>
      <c r="BZ26" s="134">
        <f t="shared" si="0"/>
        <v>0.34284792775358808</v>
      </c>
      <c r="CB26" s="292">
        <v>0.42337002540220159</v>
      </c>
      <c r="CC26" s="292">
        <v>0.1384419983065199</v>
      </c>
      <c r="CD26" s="292">
        <v>0.43818797629127859</v>
      </c>
      <c r="CE26" s="190">
        <v>134.69333333333336</v>
      </c>
      <c r="CF26" s="215">
        <v>0.5677676230218065</v>
      </c>
      <c r="CG26" s="215">
        <v>0.36725178047191565</v>
      </c>
      <c r="CH26" s="303">
        <v>0.81454604096113548</v>
      </c>
      <c r="CI26" s="300">
        <f t="shared" si="1"/>
        <v>0.18545395903886452</v>
      </c>
    </row>
    <row r="27" spans="1:87" ht="15" thickBot="1">
      <c r="J27" s="11" t="s">
        <v>106</v>
      </c>
      <c r="K27" s="128">
        <v>0.26675413378132928</v>
      </c>
      <c r="AY27" t="s">
        <v>138</v>
      </c>
      <c r="AZ27" t="s">
        <v>139</v>
      </c>
      <c r="BA27" s="11" t="s">
        <v>105</v>
      </c>
      <c r="BB27" s="11" t="s">
        <v>106</v>
      </c>
      <c r="BC27" s="29" t="s">
        <v>25</v>
      </c>
      <c r="BQ27" s="282">
        <v>10</v>
      </c>
      <c r="BR27" s="283" t="s">
        <v>98</v>
      </c>
      <c r="BS27" s="284">
        <v>0.7246376811594204</v>
      </c>
      <c r="BT27" s="284">
        <v>0.27536231884057971</v>
      </c>
      <c r="BU27" s="284"/>
      <c r="BV27" s="285">
        <v>109.06666666666668</v>
      </c>
      <c r="BW27">
        <v>27.266666666666669</v>
      </c>
      <c r="BX27">
        <v>0.16489275923238192</v>
      </c>
      <c r="BY27" s="286">
        <v>0.65957103692952768</v>
      </c>
      <c r="BZ27" s="134">
        <f t="shared" si="0"/>
        <v>0.34042896307047232</v>
      </c>
      <c r="CB27" s="295">
        <v>0.48447478528958382</v>
      </c>
      <c r="CC27" s="295">
        <v>0.13895617705351243</v>
      </c>
      <c r="CD27" s="295">
        <v>0.3765690376569038</v>
      </c>
      <c r="CE27" s="196">
        <v>136.08000000000001</v>
      </c>
      <c r="CF27" s="215">
        <v>0.5978902457411267</v>
      </c>
      <c r="CG27" s="215">
        <v>0.3145504720942503</v>
      </c>
      <c r="CH27" s="303">
        <v>0.82293178519593624</v>
      </c>
      <c r="CI27" s="300">
        <f t="shared" si="1"/>
        <v>0.17706821480406376</v>
      </c>
    </row>
    <row r="28" spans="1:87">
      <c r="AT28" s="222">
        <v>134.66666666666669</v>
      </c>
      <c r="AU28" s="190">
        <v>0.42390843577787196</v>
      </c>
      <c r="AV28" s="190">
        <v>0.19923696481559983</v>
      </c>
      <c r="AW28" s="190">
        <v>0.37685459940652821</v>
      </c>
      <c r="AX28" s="190">
        <v>130.16</v>
      </c>
      <c r="AY28" s="125">
        <v>0.34720003867538729</v>
      </c>
      <c r="AZ28" s="217">
        <f t="shared" ref="AZ28:AZ41" si="2">1-AY28</f>
        <v>0.65279996132461271</v>
      </c>
      <c r="BA28" s="215">
        <v>0.52746843688890843</v>
      </c>
      <c r="BB28" s="215">
        <v>0.31976115336472843</v>
      </c>
      <c r="BC28" s="220">
        <f t="shared" ref="BC28:BC36" si="3">BA28*AZ28</f>
        <v>0.34433137520103335</v>
      </c>
      <c r="BQ28" s="282">
        <v>11</v>
      </c>
      <c r="BR28" s="283" t="s">
        <v>98</v>
      </c>
      <c r="BS28" s="284">
        <v>0.69930069930069938</v>
      </c>
      <c r="BT28" s="284">
        <v>0.30069930069930073</v>
      </c>
      <c r="BU28" s="284"/>
      <c r="BV28" s="285">
        <v>108.96</v>
      </c>
      <c r="BW28">
        <v>27.24</v>
      </c>
      <c r="BX28">
        <v>0.16473149492017417</v>
      </c>
      <c r="BY28" s="286">
        <v>0.65892597968069666</v>
      </c>
      <c r="BZ28" s="134">
        <f t="shared" si="0"/>
        <v>0.34107402031930334</v>
      </c>
      <c r="CB28" s="296">
        <v>0.61085972850678727</v>
      </c>
      <c r="CC28" s="296">
        <v>0</v>
      </c>
      <c r="CD28" s="296">
        <v>0.38914027149321262</v>
      </c>
      <c r="CE28" s="201">
        <v>133.14666666666668</v>
      </c>
      <c r="CF28" s="216">
        <v>0.75295277138654582</v>
      </c>
      <c r="CG28" s="216">
        <v>0.31386306587748147</v>
      </c>
      <c r="CH28" s="303">
        <v>0.80164489598451849</v>
      </c>
      <c r="CI28" s="300">
        <f t="shared" si="1"/>
        <v>0.19835510401548151</v>
      </c>
    </row>
    <row r="29" spans="1:87" ht="15" thickBot="1">
      <c r="AT29" s="127"/>
      <c r="AU29" s="190">
        <v>0.45372050816696918</v>
      </c>
      <c r="AV29" s="190">
        <v>0.19918330308529944</v>
      </c>
      <c r="AW29" s="190">
        <v>0.3470961887477314</v>
      </c>
      <c r="AX29" s="190">
        <v>131.49333333333334</v>
      </c>
      <c r="AY29" s="125">
        <v>0.32189526844113597</v>
      </c>
      <c r="AZ29" s="217">
        <f t="shared" si="2"/>
        <v>0.67810473155886397</v>
      </c>
      <c r="BA29" s="215">
        <v>0.54342120395432714</v>
      </c>
      <c r="BB29" s="215">
        <v>0.29428456752433269</v>
      </c>
      <c r="BC29" s="220">
        <f t="shared" si="3"/>
        <v>0.36849648963084369</v>
      </c>
      <c r="BQ29" s="282">
        <v>12</v>
      </c>
      <c r="BR29" s="283" t="s">
        <v>98</v>
      </c>
      <c r="BS29" s="284">
        <v>0.67567567567567566</v>
      </c>
      <c r="BT29" s="284">
        <v>0.32432432432432434</v>
      </c>
      <c r="BU29" s="284"/>
      <c r="BV29" s="285">
        <v>110.45333333333333</v>
      </c>
      <c r="BW29">
        <v>27.613333333333333</v>
      </c>
      <c r="BX29">
        <v>0.16698919529108208</v>
      </c>
      <c r="BY29" s="286">
        <v>0.66795678116432833</v>
      </c>
      <c r="BZ29" s="134">
        <f t="shared" si="0"/>
        <v>0.33204321883567167</v>
      </c>
      <c r="CB29" s="297">
        <v>0.59734513274336276</v>
      </c>
      <c r="CC29" s="297">
        <v>0</v>
      </c>
      <c r="CD29" s="297">
        <v>0.40265486725663713</v>
      </c>
      <c r="CE29" s="204">
        <v>133.81333333333333</v>
      </c>
      <c r="CF29" s="216">
        <v>0.74938810217856811</v>
      </c>
      <c r="CG29" s="216">
        <v>0.32543108998437797</v>
      </c>
      <c r="CH29" s="303">
        <v>0.80922431865828093</v>
      </c>
      <c r="CI29" s="300">
        <f t="shared" si="1"/>
        <v>0.19077568134171907</v>
      </c>
    </row>
    <row r="30" spans="1:87" ht="15" thickBot="1">
      <c r="AU30" s="193">
        <v>0.42390843577787196</v>
      </c>
      <c r="AV30" s="193">
        <v>0.16913946587537093</v>
      </c>
      <c r="AW30" s="193">
        <v>0.40695209834675711</v>
      </c>
      <c r="AX30" s="193">
        <v>135.62666666666669</v>
      </c>
      <c r="AY30" s="125">
        <v>0.37048319634007487</v>
      </c>
      <c r="AZ30" s="217">
        <f t="shared" si="2"/>
        <v>0.62951680365992513</v>
      </c>
      <c r="BA30" s="215">
        <v>0.54680540434311609</v>
      </c>
      <c r="BB30" s="215">
        <v>0.34304397478921717</v>
      </c>
      <c r="BC30" s="220">
        <f t="shared" si="3"/>
        <v>0.34422319036605137</v>
      </c>
      <c r="BQ30" s="282">
        <v>13</v>
      </c>
      <c r="BR30" s="283" t="s">
        <v>98</v>
      </c>
      <c r="BS30" s="284">
        <v>0.65359477124183007</v>
      </c>
      <c r="BT30" s="284">
        <v>0.34640522875816993</v>
      </c>
      <c r="BU30" s="284"/>
      <c r="BV30" s="285">
        <v>110.53333333333335</v>
      </c>
      <c r="BW30">
        <v>27.633333333333336</v>
      </c>
      <c r="BX30">
        <v>0.16711014352523787</v>
      </c>
      <c r="BY30" s="286">
        <v>0.66844057410095148</v>
      </c>
      <c r="BZ30" s="134">
        <f t="shared" si="0"/>
        <v>0.33155942589904852</v>
      </c>
      <c r="CB30" s="298">
        <v>0.5818965517241379</v>
      </c>
      <c r="CC30" s="298">
        <v>0</v>
      </c>
      <c r="CD30" s="298">
        <v>0.41810344827586204</v>
      </c>
      <c r="CE30" s="208">
        <v>136.66666666666666</v>
      </c>
      <c r="CF30" s="216">
        <v>0.74515480021471081</v>
      </c>
      <c r="CG30" s="216">
        <v>0.33865453823070957</v>
      </c>
      <c r="CH30" s="303">
        <v>0.82647960006450572</v>
      </c>
      <c r="CI30" s="300">
        <f t="shared" si="1"/>
        <v>0.17352039993549428</v>
      </c>
    </row>
    <row r="31" spans="1:87">
      <c r="E31" t="s">
        <v>138</v>
      </c>
      <c r="F31" t="s">
        <v>139</v>
      </c>
      <c r="G31" s="11" t="s">
        <v>105</v>
      </c>
      <c r="H31" s="11" t="s">
        <v>106</v>
      </c>
      <c r="I31" s="29" t="s">
        <v>25</v>
      </c>
      <c r="AU31" s="199">
        <v>0.48447478528958382</v>
      </c>
      <c r="AV31" s="199">
        <v>0.19951552521471044</v>
      </c>
      <c r="AW31" s="199">
        <v>0.31490861043822949</v>
      </c>
      <c r="AX31" s="199">
        <v>132.02666666666667</v>
      </c>
      <c r="AY31" s="125">
        <v>0.29454643422405358</v>
      </c>
      <c r="AZ31" s="217">
        <f t="shared" si="2"/>
        <v>0.70545356577594642</v>
      </c>
      <c r="BA31" s="215">
        <v>0.55856166329815216</v>
      </c>
      <c r="BB31" s="215">
        <v>0.26675413378132928</v>
      </c>
      <c r="BC31" s="220">
        <f t="shared" si="3"/>
        <v>0.39403931707942502</v>
      </c>
      <c r="BQ31" s="282">
        <v>14</v>
      </c>
      <c r="BR31" s="283" t="s">
        <v>98</v>
      </c>
      <c r="BS31" s="284">
        <v>0.75187969924812026</v>
      </c>
      <c r="BT31" s="284">
        <v>0.24812030075187969</v>
      </c>
      <c r="BU31" s="284"/>
      <c r="BV31" s="285">
        <v>108.58666666666666</v>
      </c>
      <c r="BW31">
        <v>27.146666666666665</v>
      </c>
      <c r="BX31">
        <v>0.16416706982744719</v>
      </c>
      <c r="BY31" s="286">
        <v>0.65666827930978877</v>
      </c>
      <c r="BZ31" s="134">
        <f t="shared" si="0"/>
        <v>0.34333172069021123</v>
      </c>
      <c r="CB31" s="299">
        <v>0.56657223796033995</v>
      </c>
      <c r="CC31" s="299">
        <v>0</v>
      </c>
      <c r="CD31" s="299">
        <v>0.43342776203966005</v>
      </c>
      <c r="CE31" s="211">
        <v>135.22666666666669</v>
      </c>
      <c r="CF31" s="216">
        <v>0.74077833774877022</v>
      </c>
      <c r="CG31" s="216">
        <v>0.35177161802683821</v>
      </c>
      <c r="CH31" s="303">
        <v>0.81777132720528967</v>
      </c>
      <c r="CI31" s="300">
        <f t="shared" si="1"/>
        <v>0.18222867279471033</v>
      </c>
    </row>
    <row r="32" spans="1:87">
      <c r="A32" s="190">
        <v>0.48447478528958382</v>
      </c>
      <c r="B32" s="190">
        <v>0.19951552521471044</v>
      </c>
      <c r="C32" s="190">
        <v>0.31490861043822949</v>
      </c>
      <c r="D32" s="190">
        <v>132.02666666666667</v>
      </c>
      <c r="E32" s="237">
        <v>0.29175413378132931</v>
      </c>
      <c r="F32" s="233">
        <f>1-E32</f>
        <v>0.70824586621867069</v>
      </c>
      <c r="G32" s="215">
        <v>0.55856166329815216</v>
      </c>
      <c r="H32" s="215">
        <v>0.26675413378132928</v>
      </c>
      <c r="I32" s="237">
        <v>0.39342187163083964</v>
      </c>
      <c r="AT32" s="227"/>
      <c r="AU32" s="190">
        <v>0.45392646391284608</v>
      </c>
      <c r="AV32" s="190">
        <v>0.1693145710394916</v>
      </c>
      <c r="AW32" s="190">
        <v>0.37675896504766226</v>
      </c>
      <c r="AX32" s="190">
        <v>131.09333333333333</v>
      </c>
      <c r="AY32" s="125">
        <v>0.34482637033034785</v>
      </c>
      <c r="AZ32" s="217">
        <f t="shared" si="2"/>
        <v>0.6551736296696522</v>
      </c>
      <c r="BA32" s="215">
        <v>0.56253188891860884</v>
      </c>
      <c r="BB32" s="215">
        <v>0.31721412851042335</v>
      </c>
      <c r="BC32" s="220">
        <f t="shared" si="3"/>
        <v>0.36855605946773057</v>
      </c>
      <c r="BQ32" s="282">
        <v>15</v>
      </c>
      <c r="BR32" s="283" t="s">
        <v>98</v>
      </c>
      <c r="BS32" s="284">
        <v>0.7246376811594204</v>
      </c>
      <c r="BT32" s="284">
        <v>0.27536231884057971</v>
      </c>
      <c r="BU32" s="284"/>
      <c r="BV32" s="285">
        <v>112.05333333333334</v>
      </c>
      <c r="BW32">
        <v>28.013333333333335</v>
      </c>
      <c r="BX32">
        <v>0.16940815997419773</v>
      </c>
      <c r="BY32" s="286">
        <v>0.6776326398967909</v>
      </c>
      <c r="BZ32" s="134">
        <f t="shared" si="0"/>
        <v>0.3223673601032091</v>
      </c>
      <c r="CB32" s="296">
        <v>0.5524861878453039</v>
      </c>
      <c r="CC32" s="296">
        <v>0</v>
      </c>
      <c r="CD32" s="296">
        <v>0.44751381215469616</v>
      </c>
      <c r="CE32" s="201">
        <v>135.76000000000002</v>
      </c>
      <c r="CF32" s="216">
        <v>0.73659006348867362</v>
      </c>
      <c r="CG32" s="216">
        <v>0.36382878719076445</v>
      </c>
      <c r="CH32" s="304">
        <v>0.82099661344944386</v>
      </c>
      <c r="CI32" s="301">
        <f t="shared" si="1"/>
        <v>0.17900338655055614</v>
      </c>
    </row>
    <row r="33" spans="1:85">
      <c r="A33" s="190">
        <v>0.48479506390480392</v>
      </c>
      <c r="B33" s="190">
        <v>0.16923754958131337</v>
      </c>
      <c r="C33" s="190">
        <v>0.34596738651388281</v>
      </c>
      <c r="D33" s="190">
        <v>133.65333333333334</v>
      </c>
      <c r="E33" s="125">
        <v>0.3158512623915275</v>
      </c>
      <c r="F33" s="234">
        <f t="shared" ref="F33:F45" si="4">1-E33</f>
        <v>0.6841487376084725</v>
      </c>
      <c r="G33" s="215">
        <v>0.57763635880680286</v>
      </c>
      <c r="H33" s="215">
        <v>0.29085126239152748</v>
      </c>
      <c r="I33" s="125">
        <v>0.39357267576256394</v>
      </c>
      <c r="AU33" s="190">
        <v>0.42337002540220159</v>
      </c>
      <c r="AV33" s="190">
        <v>0.1384419983065199</v>
      </c>
      <c r="AW33" s="190">
        <v>0.43818797629127859</v>
      </c>
      <c r="AX33" s="190">
        <v>134.69333333333336</v>
      </c>
      <c r="AY33" s="125">
        <v>0.39468826798077178</v>
      </c>
      <c r="AZ33" s="217">
        <f t="shared" si="2"/>
        <v>0.60531173201922828</v>
      </c>
      <c r="BA33" s="215">
        <v>0.5677676230218065</v>
      </c>
      <c r="BB33" s="215">
        <v>0.36725178047191565</v>
      </c>
      <c r="BC33" s="220">
        <f t="shared" si="3"/>
        <v>0.34367640327576998</v>
      </c>
      <c r="BQ33" s="282">
        <v>16</v>
      </c>
      <c r="BR33" s="283" t="s">
        <v>98</v>
      </c>
      <c r="BS33" s="284">
        <v>0.69930069930069938</v>
      </c>
      <c r="BT33" s="284">
        <v>0.30069930069930073</v>
      </c>
      <c r="BU33" s="284"/>
      <c r="BV33" s="285">
        <v>110.69333333333334</v>
      </c>
      <c r="BW33">
        <v>27.673333333333336</v>
      </c>
      <c r="BX33">
        <v>0.16735203999354945</v>
      </c>
      <c r="BY33" s="286">
        <v>0.66940815997419778</v>
      </c>
      <c r="BZ33" s="134">
        <f t="shared" si="0"/>
        <v>0.33059184002580222</v>
      </c>
    </row>
    <row r="34" spans="1:85">
      <c r="A34" s="193">
        <v>0.45372050816696918</v>
      </c>
      <c r="B34" s="193">
        <v>0.19918330308529944</v>
      </c>
      <c r="C34" s="193">
        <v>0.3470961887477314</v>
      </c>
      <c r="D34" s="193">
        <v>131.49333333333334</v>
      </c>
      <c r="E34" s="125">
        <v>0.32189526844113597</v>
      </c>
      <c r="F34" s="234">
        <f t="shared" si="4"/>
        <v>0.67810473155886397</v>
      </c>
      <c r="G34" s="215">
        <v>0.54342120395432714</v>
      </c>
      <c r="H34" s="215">
        <v>0.29428456752433269</v>
      </c>
      <c r="I34" s="125">
        <f t="shared" ref="I34:I40" si="5">G34*F34</f>
        <v>0.36849648963084369</v>
      </c>
      <c r="AT34" s="127"/>
      <c r="AU34" s="190">
        <v>0.48479506390480392</v>
      </c>
      <c r="AV34" s="190">
        <v>0.16923754958131337</v>
      </c>
      <c r="AW34" s="190">
        <v>0.34596738651388281</v>
      </c>
      <c r="AX34" s="190">
        <v>133.65333333333334</v>
      </c>
      <c r="AY34" s="125">
        <v>0.31864144623286517</v>
      </c>
      <c r="AZ34" s="217">
        <f t="shared" si="2"/>
        <v>0.68135855376713483</v>
      </c>
      <c r="BA34" s="215">
        <v>0.57763635880680286</v>
      </c>
      <c r="BB34" s="215">
        <v>0.29085126239152748</v>
      </c>
      <c r="BC34" s="220">
        <f t="shared" si="3"/>
        <v>0.393577474039917</v>
      </c>
      <c r="BQ34" s="282">
        <v>17</v>
      </c>
      <c r="BR34" s="283" t="s">
        <v>98</v>
      </c>
      <c r="BS34" s="284">
        <v>0.67567567567567566</v>
      </c>
      <c r="BT34" s="284">
        <v>0.32432432432432434</v>
      </c>
      <c r="BU34" s="284"/>
      <c r="BV34" s="285">
        <v>112.08</v>
      </c>
      <c r="BW34">
        <v>28.02</v>
      </c>
      <c r="BX34">
        <v>0.16944847605224964</v>
      </c>
      <c r="BY34" s="286">
        <v>0.67779390420899854</v>
      </c>
      <c r="BZ34" s="134">
        <f t="shared" si="0"/>
        <v>0.32220609579100146</v>
      </c>
    </row>
    <row r="35" spans="1:85" ht="15" thickBot="1">
      <c r="A35" s="199">
        <v>0.45392646391284608</v>
      </c>
      <c r="B35" s="199">
        <v>0.1693145710394916</v>
      </c>
      <c r="C35" s="199">
        <v>0.37675896504766226</v>
      </c>
      <c r="D35" s="199">
        <v>131.09333333333333</v>
      </c>
      <c r="E35" s="125">
        <v>0.34482637033034785</v>
      </c>
      <c r="F35" s="234">
        <f t="shared" si="4"/>
        <v>0.6551736296696522</v>
      </c>
      <c r="G35" s="215">
        <v>0.56253188891860884</v>
      </c>
      <c r="H35" s="215">
        <v>0.31721412851042335</v>
      </c>
      <c r="I35" s="125">
        <f t="shared" si="5"/>
        <v>0.36855605946773057</v>
      </c>
      <c r="AT35" s="127"/>
      <c r="AU35" s="190">
        <v>0.4533091568449682</v>
      </c>
      <c r="AV35" s="190">
        <v>0.13871260199456029</v>
      </c>
      <c r="AW35" s="190">
        <v>0.40797824116047138</v>
      </c>
      <c r="AX35" s="190">
        <v>132.48000000000002</v>
      </c>
      <c r="AY35" s="125">
        <v>0.36902466379497156</v>
      </c>
      <c r="AZ35" s="217">
        <f t="shared" si="2"/>
        <v>0.63097533620502844</v>
      </c>
      <c r="BA35" s="215">
        <v>0.58313792558127309</v>
      </c>
      <c r="BB35" s="215">
        <v>0.34141559127621851</v>
      </c>
      <c r="BC35" s="220">
        <f t="shared" si="3"/>
        <v>0.36794564864754664</v>
      </c>
      <c r="BQ35" s="282">
        <v>18</v>
      </c>
      <c r="BR35" s="283" t="s">
        <v>98</v>
      </c>
      <c r="BS35" s="284">
        <v>0.65359477124183007</v>
      </c>
      <c r="BT35" s="284">
        <v>0.34640522875816993</v>
      </c>
      <c r="BU35" s="284"/>
      <c r="BV35" s="285">
        <v>111.44000000000001</v>
      </c>
      <c r="BW35">
        <v>27.860000000000003</v>
      </c>
      <c r="BX35">
        <v>0.16848089017900342</v>
      </c>
      <c r="BY35" s="286">
        <v>0.67392356071601367</v>
      </c>
      <c r="BZ35" s="134">
        <f t="shared" si="0"/>
        <v>0.32607643928398633</v>
      </c>
      <c r="CA35" s="29"/>
      <c r="CB35" s="29"/>
      <c r="CC35" s="29"/>
      <c r="CE35" s="72"/>
      <c r="CF35" s="127"/>
    </row>
    <row r="36" spans="1:85" ht="15" thickBot="1">
      <c r="A36" s="190">
        <v>0.42390843577787196</v>
      </c>
      <c r="B36" s="190">
        <v>0.19923696481559983</v>
      </c>
      <c r="C36" s="190">
        <v>0.37685459940652821</v>
      </c>
      <c r="D36" s="190">
        <v>130.16</v>
      </c>
      <c r="E36" s="125">
        <v>0.34720003867538729</v>
      </c>
      <c r="F36" s="234">
        <f t="shared" si="4"/>
        <v>0.65279996132461271</v>
      </c>
      <c r="G36" s="215">
        <v>0.52746843688890843</v>
      </c>
      <c r="H36" s="215">
        <v>0.31976115336472843</v>
      </c>
      <c r="I36" s="125">
        <f t="shared" si="5"/>
        <v>0.34433137520103335</v>
      </c>
      <c r="AU36" s="196">
        <v>0.48447478528958382</v>
      </c>
      <c r="AV36" s="196">
        <v>0.13895617705351243</v>
      </c>
      <c r="AW36" s="196">
        <v>0.3765690376569038</v>
      </c>
      <c r="AX36" s="196">
        <v>136.08000000000001</v>
      </c>
      <c r="AY36" s="125">
        <v>0.34233921511046433</v>
      </c>
      <c r="AZ36" s="217">
        <f t="shared" si="2"/>
        <v>0.65766078488953572</v>
      </c>
      <c r="BA36" s="215">
        <v>0.5978902457411267</v>
      </c>
      <c r="BB36" s="215">
        <v>0.3145504720942503</v>
      </c>
      <c r="BC36" s="220">
        <f t="shared" si="3"/>
        <v>0.39320896829190677</v>
      </c>
      <c r="BH36" s="29"/>
      <c r="BI36" s="29"/>
      <c r="BJ36" s="29"/>
      <c r="BQ36" s="282">
        <v>19</v>
      </c>
      <c r="BR36" s="283" t="s">
        <v>100</v>
      </c>
      <c r="BS36" s="284">
        <v>1</v>
      </c>
      <c r="BT36" s="284"/>
      <c r="BU36" s="284"/>
      <c r="BV36" s="285">
        <v>105.04</v>
      </c>
      <c r="BW36">
        <v>26.26</v>
      </c>
      <c r="BX36">
        <v>0.1588050314465409</v>
      </c>
      <c r="BY36" s="286">
        <v>0.6352201257861636</v>
      </c>
      <c r="BZ36" s="134">
        <f t="shared" si="0"/>
        <v>0.3647798742138364</v>
      </c>
      <c r="CA36" s="72"/>
      <c r="CB36" s="72"/>
      <c r="CC36" s="72"/>
      <c r="CE36" s="72"/>
      <c r="CF36" s="127"/>
      <c r="CG36" s="29"/>
    </row>
    <row r="37" spans="1:85">
      <c r="A37" s="190">
        <v>0.4533091568449682</v>
      </c>
      <c r="B37" s="190">
        <v>0.13871260199456029</v>
      </c>
      <c r="C37" s="190">
        <v>0.40797824116047138</v>
      </c>
      <c r="D37" s="190">
        <v>132.48000000000002</v>
      </c>
      <c r="E37" s="125">
        <v>0.36902466379497156</v>
      </c>
      <c r="F37" s="234">
        <f t="shared" si="4"/>
        <v>0.63097533620502844</v>
      </c>
      <c r="G37" s="215">
        <v>0.58313792558127309</v>
      </c>
      <c r="H37" s="215">
        <v>0.34141559127621851</v>
      </c>
      <c r="I37" s="125">
        <f t="shared" si="5"/>
        <v>0.36794564864754664</v>
      </c>
      <c r="AU37" s="201">
        <v>0.5524861878453039</v>
      </c>
      <c r="AV37" s="201">
        <v>0</v>
      </c>
      <c r="AW37" s="201">
        <v>0.44751381215469616</v>
      </c>
      <c r="AX37" s="201">
        <v>135.76000000000002</v>
      </c>
      <c r="AY37" s="218">
        <v>0.39201216204690681</v>
      </c>
      <c r="AZ37" s="219">
        <f t="shared" si="2"/>
        <v>0.60798783795309319</v>
      </c>
      <c r="BA37" s="216">
        <v>0.73659006348867362</v>
      </c>
      <c r="BB37" s="216">
        <v>0.36382878719076445</v>
      </c>
      <c r="BC37" s="224">
        <v>0.45018264244560424</v>
      </c>
      <c r="BD37" s="214"/>
      <c r="BE37" s="214"/>
      <c r="BF37" s="72"/>
      <c r="BG37" s="127"/>
      <c r="BH37" s="72"/>
      <c r="BI37" s="72"/>
      <c r="BJ37" s="72"/>
      <c r="BQ37" s="282">
        <v>20</v>
      </c>
      <c r="BR37" s="283" t="s">
        <v>98</v>
      </c>
      <c r="BS37" s="287">
        <v>0.86</v>
      </c>
      <c r="BT37" s="288">
        <v>0.14000000000000001</v>
      </c>
      <c r="BU37" s="284"/>
      <c r="BV37" s="285">
        <v>106.61333333333334</v>
      </c>
      <c r="BW37">
        <v>26.653333333333336</v>
      </c>
      <c r="BX37">
        <v>0.16118368005160461</v>
      </c>
      <c r="BY37" s="286">
        <v>0.64473472020641842</v>
      </c>
      <c r="BZ37" s="134">
        <f t="shared" si="0"/>
        <v>0.35526527979358158</v>
      </c>
      <c r="CA37" s="72"/>
      <c r="CB37" s="72"/>
      <c r="CC37" s="72"/>
      <c r="CE37" s="72"/>
      <c r="CF37" s="127"/>
      <c r="CG37" s="72"/>
    </row>
    <row r="38" spans="1:85" ht="15" thickBot="1">
      <c r="A38" s="190">
        <v>0.42390843577787196</v>
      </c>
      <c r="B38" s="190">
        <v>0.16913946587537093</v>
      </c>
      <c r="C38" s="190">
        <v>0.40695209834675711</v>
      </c>
      <c r="D38" s="190">
        <v>135.62666666666669</v>
      </c>
      <c r="E38" s="125">
        <v>0.37048319634007487</v>
      </c>
      <c r="F38" s="234">
        <f t="shared" si="4"/>
        <v>0.62951680365992513</v>
      </c>
      <c r="G38" s="215">
        <v>0.54680540434311609</v>
      </c>
      <c r="H38" s="215">
        <v>0.34304397478921717</v>
      </c>
      <c r="I38" s="125">
        <f t="shared" si="5"/>
        <v>0.34422319036605137</v>
      </c>
      <c r="AU38" s="204">
        <v>0.56657223796033995</v>
      </c>
      <c r="AV38" s="204">
        <v>0</v>
      </c>
      <c r="AW38" s="204">
        <v>0.43342776203966005</v>
      </c>
      <c r="AX38" s="204">
        <v>135.22666666666669</v>
      </c>
      <c r="AY38" s="218">
        <v>0.38003625275209435</v>
      </c>
      <c r="AZ38" s="219">
        <f t="shared" si="2"/>
        <v>0.61996374724790559</v>
      </c>
      <c r="BA38" s="216">
        <v>0.74077833774877022</v>
      </c>
      <c r="BB38" s="216">
        <v>0.35177161802683821</v>
      </c>
      <c r="BC38" s="218">
        <v>0.46167408483593442</v>
      </c>
      <c r="BD38" s="214"/>
      <c r="BE38" s="214"/>
      <c r="BF38" s="72"/>
      <c r="BG38" s="127"/>
      <c r="BH38" s="72"/>
      <c r="BI38" s="72"/>
      <c r="BJ38" s="72"/>
      <c r="BQ38" s="282">
        <v>21</v>
      </c>
      <c r="BR38" s="283" t="s">
        <v>98</v>
      </c>
      <c r="BS38" s="284">
        <v>0.76</v>
      </c>
      <c r="BT38" s="284">
        <v>0.24</v>
      </c>
      <c r="BU38" s="284"/>
      <c r="BV38" s="285">
        <v>108</v>
      </c>
      <c r="BW38">
        <v>27</v>
      </c>
      <c r="BX38">
        <v>0.1632801161103048</v>
      </c>
      <c r="BY38" s="286">
        <v>0.65312046444121918</v>
      </c>
      <c r="BZ38" s="134">
        <f t="shared" si="0"/>
        <v>0.34687953555878082</v>
      </c>
      <c r="CA38" s="72"/>
      <c r="CB38" s="72"/>
      <c r="CC38" s="72"/>
      <c r="CE38" s="72"/>
      <c r="CF38" s="127"/>
      <c r="CG38" s="72"/>
    </row>
    <row r="39" spans="1:85" ht="15" thickBot="1">
      <c r="A39" s="190">
        <v>0.42337002540220159</v>
      </c>
      <c r="B39" s="190">
        <v>0.1384419983065199</v>
      </c>
      <c r="C39" s="190">
        <v>0.43818797629127859</v>
      </c>
      <c r="D39" s="190">
        <v>134.69333333333336</v>
      </c>
      <c r="E39" s="125">
        <v>0.39468826798077178</v>
      </c>
      <c r="F39" s="234">
        <f t="shared" si="4"/>
        <v>0.60531173201922828</v>
      </c>
      <c r="G39" s="215">
        <v>0.5677676230218065</v>
      </c>
      <c r="H39" s="215">
        <v>0.36725178047191565</v>
      </c>
      <c r="I39" s="125">
        <f t="shared" si="5"/>
        <v>0.34367640327576998</v>
      </c>
      <c r="AU39" s="208">
        <v>0.5818965517241379</v>
      </c>
      <c r="AV39" s="208">
        <v>0</v>
      </c>
      <c r="AW39" s="208">
        <v>0.41810344827586204</v>
      </c>
      <c r="AX39" s="208">
        <v>136.66666666666666</v>
      </c>
      <c r="AY39" s="218">
        <v>0.36700757734423034</v>
      </c>
      <c r="AZ39" s="219">
        <f t="shared" si="2"/>
        <v>0.63299242265576972</v>
      </c>
      <c r="BA39" s="216">
        <v>0.74515480021471081</v>
      </c>
      <c r="BB39" s="216">
        <v>0.33865453823070957</v>
      </c>
      <c r="BC39" s="218">
        <v>0.4741758754322335</v>
      </c>
      <c r="BD39" s="214"/>
      <c r="BE39" s="214"/>
      <c r="BF39" s="72"/>
      <c r="BG39" s="127"/>
      <c r="BH39" s="72"/>
      <c r="BI39" s="72"/>
      <c r="BJ39" s="72"/>
      <c r="BQ39" s="282">
        <v>22</v>
      </c>
      <c r="BR39" s="283" t="s">
        <v>98</v>
      </c>
      <c r="BS39" s="284">
        <v>0.66999999999999993</v>
      </c>
      <c r="BT39" s="284">
        <v>0.33</v>
      </c>
      <c r="BU39" s="284"/>
      <c r="BV39" s="285">
        <v>110.45333333333333</v>
      </c>
      <c r="BW39">
        <v>27.613333333333333</v>
      </c>
      <c r="BX39">
        <v>0.16698919529108208</v>
      </c>
      <c r="BY39" s="286">
        <v>0.66795678116432833</v>
      </c>
      <c r="BZ39" s="134">
        <f t="shared" si="0"/>
        <v>0.33204321883567167</v>
      </c>
      <c r="CA39" s="72"/>
      <c r="CB39" s="72"/>
      <c r="CC39" s="72"/>
      <c r="CE39" s="72"/>
      <c r="CF39" s="127"/>
      <c r="CG39" s="72"/>
    </row>
    <row r="40" spans="1:85" ht="15" thickBot="1">
      <c r="A40" s="196">
        <v>0.48447478528958382</v>
      </c>
      <c r="B40" s="196">
        <v>0.13895617705351243</v>
      </c>
      <c r="C40" s="196">
        <v>0.3765690376569038</v>
      </c>
      <c r="D40" s="196">
        <v>136.08000000000001</v>
      </c>
      <c r="E40" s="125">
        <v>0.34233921511046433</v>
      </c>
      <c r="F40" s="234">
        <f t="shared" si="4"/>
        <v>0.65766078488953572</v>
      </c>
      <c r="G40" s="215">
        <v>0.5978902457411267</v>
      </c>
      <c r="H40" s="215">
        <v>0.3145504720942503</v>
      </c>
      <c r="I40" s="125">
        <f t="shared" si="5"/>
        <v>0.39320896829190677</v>
      </c>
      <c r="AU40" s="211">
        <v>0.59734513274336276</v>
      </c>
      <c r="AV40" s="211">
        <v>0</v>
      </c>
      <c r="AW40" s="211">
        <v>0.40265486725663713</v>
      </c>
      <c r="AX40" s="211">
        <v>133.81333333333333</v>
      </c>
      <c r="AY40" s="218">
        <v>0.35387325156289595</v>
      </c>
      <c r="AZ40" s="219">
        <f t="shared" si="2"/>
        <v>0.64612674843710405</v>
      </c>
      <c r="BA40" s="216">
        <v>0.74938810217856811</v>
      </c>
      <c r="BB40" s="216">
        <v>0.32543108998437797</v>
      </c>
      <c r="BC40" s="218">
        <v>0.48677921271080815</v>
      </c>
      <c r="BD40" s="214"/>
      <c r="BE40" s="214"/>
      <c r="BF40" s="72"/>
      <c r="BG40" s="127"/>
      <c r="BH40" s="72"/>
      <c r="BI40" s="72"/>
      <c r="BJ40" s="72"/>
      <c r="BQ40" s="282">
        <v>23</v>
      </c>
      <c r="BR40" s="283" t="s">
        <v>98</v>
      </c>
      <c r="BS40" s="284">
        <v>0.64</v>
      </c>
      <c r="BT40" s="284">
        <v>0.36</v>
      </c>
      <c r="BU40" s="284"/>
      <c r="BV40" s="285">
        <v>108.93333333333334</v>
      </c>
      <c r="BW40">
        <v>27.233333333333334</v>
      </c>
      <c r="BX40">
        <v>0.16469117884212225</v>
      </c>
      <c r="BY40" s="286">
        <v>0.65876471536848902</v>
      </c>
      <c r="BZ40" s="134">
        <f t="shared" si="0"/>
        <v>0.34123528463151098</v>
      </c>
      <c r="CA40" s="72"/>
      <c r="CB40" s="72"/>
      <c r="CC40" s="72"/>
      <c r="CE40" s="72"/>
      <c r="CF40" s="127"/>
      <c r="CG40" s="72"/>
    </row>
    <row r="41" spans="1:85">
      <c r="A41" s="201">
        <v>0.61085972850678727</v>
      </c>
      <c r="B41" s="201">
        <v>0</v>
      </c>
      <c r="C41" s="201">
        <v>0.38914027149321262</v>
      </c>
      <c r="D41" s="201">
        <v>133.14666666666668</v>
      </c>
      <c r="E41" s="218">
        <v>0.34238319373504122</v>
      </c>
      <c r="F41" s="235">
        <f t="shared" si="4"/>
        <v>0.65761680626495878</v>
      </c>
      <c r="G41" s="216">
        <v>0.75295277138654582</v>
      </c>
      <c r="H41" s="216">
        <v>0.31386306587748147</v>
      </c>
      <c r="I41" s="225" t="e">
        <f>#REF!</f>
        <v>#REF!</v>
      </c>
      <c r="AU41" s="201">
        <v>0.61085972850678727</v>
      </c>
      <c r="AV41" s="201">
        <v>0</v>
      </c>
      <c r="AW41" s="201">
        <v>0.38914027149321262</v>
      </c>
      <c r="AX41" s="201">
        <v>133.14666666666668</v>
      </c>
      <c r="AY41" s="218">
        <v>0.34238319373504122</v>
      </c>
      <c r="AZ41" s="219">
        <f t="shared" si="2"/>
        <v>0.65761680626495878</v>
      </c>
      <c r="BA41" s="216">
        <v>0.75295277138654582</v>
      </c>
      <c r="BB41" s="216">
        <v>0.31386306587748147</v>
      </c>
      <c r="BC41" s="225" t="e">
        <f>#REF!</f>
        <v>#REF!</v>
      </c>
      <c r="BD41" s="214"/>
      <c r="BE41" s="214"/>
      <c r="BF41" s="72"/>
      <c r="BG41" s="127"/>
      <c r="BH41" s="72"/>
      <c r="BI41" s="72"/>
      <c r="BJ41" s="72"/>
      <c r="BQ41" s="282">
        <v>24</v>
      </c>
      <c r="BR41" s="283" t="s">
        <v>98</v>
      </c>
      <c r="BS41" s="284">
        <v>0.62</v>
      </c>
      <c r="BT41" s="284">
        <v>0.38</v>
      </c>
      <c r="BU41" s="284"/>
      <c r="BV41" s="285">
        <v>108.32000000000001</v>
      </c>
      <c r="BW41">
        <v>27.080000000000002</v>
      </c>
      <c r="BX41">
        <v>0.16376390904692792</v>
      </c>
      <c r="BY41" s="286">
        <v>0.65505563618771168</v>
      </c>
      <c r="BZ41" s="134">
        <f t="shared" si="0"/>
        <v>0.34494436381228832</v>
      </c>
      <c r="CA41" s="72"/>
      <c r="CB41" s="72"/>
      <c r="CC41" s="72"/>
      <c r="CE41" s="72"/>
      <c r="CF41" s="127"/>
      <c r="CG41" s="72"/>
    </row>
    <row r="42" spans="1:85" ht="15" thickBot="1">
      <c r="A42" s="204">
        <v>0.59734513274336276</v>
      </c>
      <c r="B42" s="204">
        <v>0</v>
      </c>
      <c r="C42" s="204">
        <v>0.40265486725663713</v>
      </c>
      <c r="D42" s="204">
        <v>133.81333333333333</v>
      </c>
      <c r="E42" s="218">
        <v>0.35387325156289595</v>
      </c>
      <c r="F42" s="235">
        <f t="shared" si="4"/>
        <v>0.64612674843710405</v>
      </c>
      <c r="G42" s="216">
        <v>0.74938810217856811</v>
      </c>
      <c r="H42" s="216">
        <v>0.32543108998437797</v>
      </c>
      <c r="I42" s="218">
        <v>0.48677921271080815</v>
      </c>
      <c r="BA42" s="29"/>
      <c r="BB42" s="214"/>
      <c r="BC42" s="214"/>
      <c r="BD42" s="214"/>
      <c r="BE42" s="214"/>
      <c r="BF42" s="72"/>
      <c r="BG42" s="127"/>
      <c r="BH42" s="72"/>
      <c r="BI42" s="72"/>
      <c r="BJ42" s="72"/>
      <c r="BQ42" s="282">
        <v>25</v>
      </c>
      <c r="BR42" s="283" t="s">
        <v>98</v>
      </c>
      <c r="BS42" s="284">
        <v>0.57000000000000006</v>
      </c>
      <c r="BT42" s="284">
        <v>0.43</v>
      </c>
      <c r="BU42" s="284"/>
      <c r="BV42" s="285">
        <v>109.60000000000002</v>
      </c>
      <c r="BW42">
        <v>27.400000000000006</v>
      </c>
      <c r="BX42">
        <v>0.16569908079342047</v>
      </c>
      <c r="BY42" s="286">
        <v>0.66279632317368187</v>
      </c>
      <c r="BZ42" s="134">
        <f t="shared" si="0"/>
        <v>0.33720367682631813</v>
      </c>
      <c r="CA42" s="72"/>
      <c r="CB42" s="72"/>
      <c r="CC42" s="72"/>
      <c r="CE42" s="72"/>
      <c r="CF42" s="127"/>
      <c r="CG42" s="72"/>
    </row>
    <row r="43" spans="1:85" ht="15" thickBot="1">
      <c r="A43" s="208">
        <v>0.5818965517241379</v>
      </c>
      <c r="B43" s="208">
        <v>0</v>
      </c>
      <c r="C43" s="208">
        <v>0.41810344827586204</v>
      </c>
      <c r="D43" s="208">
        <v>136.66666666666666</v>
      </c>
      <c r="E43" s="218">
        <v>0.36700757734423034</v>
      </c>
      <c r="F43" s="235">
        <f t="shared" si="4"/>
        <v>0.63299242265576972</v>
      </c>
      <c r="G43" s="216">
        <v>0.74515480021471081</v>
      </c>
      <c r="H43" s="216">
        <v>0.33865453823070957</v>
      </c>
      <c r="I43" s="218">
        <v>0.4741758754322335</v>
      </c>
      <c r="BA43" s="29"/>
      <c r="BB43" s="214"/>
      <c r="BC43" s="214"/>
      <c r="BD43" s="214"/>
      <c r="BE43" s="214"/>
      <c r="BF43" s="72"/>
      <c r="BG43" s="127"/>
      <c r="BH43" s="72"/>
      <c r="BI43" s="72"/>
      <c r="BJ43" s="72"/>
      <c r="BQ43" s="282">
        <v>26</v>
      </c>
      <c r="BR43" s="283" t="s">
        <v>98</v>
      </c>
      <c r="BS43" s="284">
        <v>0.52</v>
      </c>
      <c r="BT43" s="284">
        <v>0.48</v>
      </c>
      <c r="BU43" s="284"/>
      <c r="BV43" s="285">
        <v>109.36000000000001</v>
      </c>
      <c r="BW43">
        <v>27.340000000000003</v>
      </c>
      <c r="BX43">
        <v>0.16533623609095308</v>
      </c>
      <c r="BY43" s="286">
        <v>0.6613449443638123</v>
      </c>
      <c r="BZ43" s="134">
        <f t="shared" si="0"/>
        <v>0.3386550556361877</v>
      </c>
      <c r="CA43" s="72"/>
      <c r="CB43" s="72"/>
      <c r="CC43" s="72"/>
      <c r="CE43" s="72"/>
      <c r="CF43" s="127"/>
      <c r="CG43" s="72"/>
    </row>
    <row r="44" spans="1:85">
      <c r="A44" s="211">
        <v>0.56657223796033995</v>
      </c>
      <c r="B44" s="211">
        <v>0</v>
      </c>
      <c r="C44" s="211">
        <v>0.43342776203966005</v>
      </c>
      <c r="D44" s="211">
        <v>135.22666666666669</v>
      </c>
      <c r="E44" s="218">
        <v>0.38003625275209435</v>
      </c>
      <c r="F44" s="235">
        <f t="shared" si="4"/>
        <v>0.61996374724790559</v>
      </c>
      <c r="G44" s="216">
        <v>0.74077833774877022</v>
      </c>
      <c r="H44" s="216">
        <v>0.35177161802683821</v>
      </c>
      <c r="I44" s="218">
        <v>0.46167408483593442</v>
      </c>
      <c r="BA44" s="29"/>
      <c r="BB44" s="214"/>
      <c r="BC44" s="214"/>
      <c r="BD44" s="214"/>
      <c r="BE44" s="214"/>
      <c r="BF44" s="72"/>
      <c r="BG44" s="127"/>
      <c r="BH44" s="72"/>
      <c r="BI44" s="72"/>
      <c r="BJ44" s="72"/>
      <c r="BQ44" s="282">
        <v>27</v>
      </c>
      <c r="BR44" s="283" t="s">
        <v>98</v>
      </c>
      <c r="BS44" s="284">
        <v>0.48</v>
      </c>
      <c r="BT44" s="284">
        <v>0.52</v>
      </c>
      <c r="BU44" s="284"/>
      <c r="BV44" s="285">
        <v>111.68</v>
      </c>
      <c r="BW44">
        <v>27.92</v>
      </c>
      <c r="BX44">
        <v>0.16884373488147075</v>
      </c>
      <c r="BY44" s="286">
        <v>0.67537493952588301</v>
      </c>
      <c r="BZ44" s="134">
        <f t="shared" si="0"/>
        <v>0.32462506047411699</v>
      </c>
      <c r="CA44" s="72"/>
      <c r="CB44" s="72"/>
      <c r="CC44" s="72"/>
      <c r="CE44" s="72"/>
      <c r="CF44" s="127"/>
      <c r="CG44" s="72"/>
    </row>
    <row r="45" spans="1:85">
      <c r="A45" s="201">
        <v>0.5524861878453039</v>
      </c>
      <c r="B45" s="201">
        <v>0</v>
      </c>
      <c r="C45" s="201">
        <v>0.44751381215469616</v>
      </c>
      <c r="D45" s="201">
        <v>135.76000000000002</v>
      </c>
      <c r="E45" s="238">
        <v>0.39201216204690681</v>
      </c>
      <c r="F45" s="236">
        <f t="shared" si="4"/>
        <v>0.60798783795309319</v>
      </c>
      <c r="G45" s="216">
        <v>0.73659006348867362</v>
      </c>
      <c r="H45" s="216">
        <v>0.36382878719076445</v>
      </c>
      <c r="I45" s="238">
        <v>0.45018264244560424</v>
      </c>
      <c r="BA45" s="29"/>
      <c r="BB45" s="214"/>
      <c r="BC45" s="214"/>
      <c r="BD45" s="214"/>
      <c r="BE45" s="214"/>
      <c r="BF45" s="72"/>
      <c r="BG45" s="127"/>
      <c r="BH45" s="72"/>
      <c r="BI45" s="72"/>
      <c r="BJ45" s="72"/>
      <c r="BQ45" s="282">
        <v>28</v>
      </c>
      <c r="BR45" s="283" t="s">
        <v>0</v>
      </c>
      <c r="BS45" s="284"/>
      <c r="BT45" s="284">
        <v>1</v>
      </c>
      <c r="BU45" s="284"/>
      <c r="BV45" s="285">
        <v>106</v>
      </c>
      <c r="BW45">
        <v>26.5</v>
      </c>
      <c r="BX45">
        <v>0.16025641025641027</v>
      </c>
      <c r="BY45" s="286">
        <v>0.64102564102564108</v>
      </c>
      <c r="BZ45" s="134">
        <f t="shared" si="0"/>
        <v>0.35897435897435892</v>
      </c>
      <c r="CA45" s="72"/>
      <c r="CB45" s="72"/>
      <c r="CC45" s="71"/>
      <c r="CE45" s="72"/>
      <c r="CF45" s="127"/>
      <c r="CG45" s="72"/>
    </row>
    <row r="46" spans="1:85">
      <c r="BQ46" s="282">
        <v>29</v>
      </c>
      <c r="BR46" s="283" t="s">
        <v>109</v>
      </c>
      <c r="BS46" s="284">
        <v>0.45392646391284608</v>
      </c>
      <c r="BT46" s="284">
        <v>0.1693145710394916</v>
      </c>
      <c r="BU46" s="284">
        <v>0.37675896504766226</v>
      </c>
      <c r="BV46" s="285">
        <v>131.09333333333333</v>
      </c>
      <c r="BW46">
        <v>32.773333333333333</v>
      </c>
      <c r="BX46">
        <v>0.19819383970327367</v>
      </c>
      <c r="BY46" s="286">
        <v>0.79277535881309469</v>
      </c>
      <c r="BZ46" s="134">
        <f t="shared" si="0"/>
        <v>0.20722464118690531</v>
      </c>
      <c r="CA46" s="72"/>
      <c r="CB46" s="72"/>
      <c r="CC46" s="72"/>
      <c r="CE46" s="72"/>
      <c r="CF46" s="127"/>
      <c r="CG46" s="71"/>
    </row>
    <row r="47" spans="1:85">
      <c r="BQ47" s="282">
        <v>30</v>
      </c>
      <c r="BR47" s="283" t="s">
        <v>109</v>
      </c>
      <c r="BS47" s="284">
        <v>0.45372050816696918</v>
      </c>
      <c r="BT47" s="284">
        <v>0.19918330308529944</v>
      </c>
      <c r="BU47" s="284">
        <v>0.3470961887477314</v>
      </c>
      <c r="BV47" s="285">
        <v>131.49333333333334</v>
      </c>
      <c r="BW47">
        <v>32.873333333333335</v>
      </c>
      <c r="BX47">
        <v>0.19879858087405258</v>
      </c>
      <c r="BY47" s="286">
        <v>0.79519432349621033</v>
      </c>
      <c r="BZ47" s="134">
        <f t="shared" si="0"/>
        <v>0.20480567650378967</v>
      </c>
      <c r="CA47" s="72"/>
      <c r="CB47" s="72"/>
      <c r="CC47" s="72"/>
      <c r="CE47" s="72"/>
      <c r="CF47" s="127"/>
      <c r="CG47" s="72"/>
    </row>
    <row r="48" spans="1:85">
      <c r="E48" s="228"/>
      <c r="AU48" s="190">
        <v>0.48447478528958382</v>
      </c>
      <c r="AV48" s="190">
        <v>0.19951552521471044</v>
      </c>
      <c r="AW48" s="190">
        <v>0.31490861043822949</v>
      </c>
      <c r="AX48" s="190">
        <v>132.02666666666667</v>
      </c>
      <c r="AY48" s="125">
        <v>0.29454643422405358</v>
      </c>
      <c r="AZ48" s="217">
        <f t="shared" ref="AZ48:AZ61" si="6">1-AY48</f>
        <v>0.70545356577594642</v>
      </c>
      <c r="BA48" s="215">
        <v>0.55856166329815216</v>
      </c>
      <c r="BB48" s="215">
        <v>0.26675413378132928</v>
      </c>
      <c r="BC48" s="220">
        <f>BA48*AZ48</f>
        <v>0.39403931707942502</v>
      </c>
      <c r="BH48" s="29"/>
      <c r="BI48" s="29"/>
      <c r="BJ48" s="29"/>
      <c r="BQ48" s="282">
        <v>31</v>
      </c>
      <c r="BR48" s="283" t="s">
        <v>109</v>
      </c>
      <c r="BS48" s="284">
        <v>0.4533091568449682</v>
      </c>
      <c r="BT48" s="284">
        <v>0.13871260199456029</v>
      </c>
      <c r="BU48" s="284">
        <v>0.40797824116047138</v>
      </c>
      <c r="BV48" s="285">
        <v>132.48000000000002</v>
      </c>
      <c r="BW48">
        <v>33.120000000000005</v>
      </c>
      <c r="BX48">
        <v>0.20029027576197392</v>
      </c>
      <c r="BY48" s="286">
        <v>0.80116110304789567</v>
      </c>
      <c r="BZ48" s="134">
        <f t="shared" si="0"/>
        <v>0.19883889695210433</v>
      </c>
      <c r="CA48" s="72"/>
      <c r="CB48" s="72"/>
      <c r="CC48" s="72"/>
      <c r="CE48" s="72"/>
      <c r="CF48" s="127"/>
      <c r="CG48" s="72"/>
    </row>
    <row r="49" spans="4:85">
      <c r="D49" s="72"/>
      <c r="E49" s="228"/>
      <c r="AT49" s="127"/>
      <c r="AU49" s="190">
        <v>0.48479506390480392</v>
      </c>
      <c r="AV49" s="190">
        <v>0.16923754958131337</v>
      </c>
      <c r="AW49" s="190">
        <v>0.34596738651388281</v>
      </c>
      <c r="AX49" s="190">
        <v>133.65333333333334</v>
      </c>
      <c r="AY49" s="125">
        <v>0.31864144623286517</v>
      </c>
      <c r="AZ49" s="217">
        <f t="shared" si="6"/>
        <v>0.68135855376713483</v>
      </c>
      <c r="BA49" s="215">
        <v>0.57763635880680286</v>
      </c>
      <c r="BB49" s="215">
        <v>0.29085126239152748</v>
      </c>
      <c r="BC49" s="220">
        <f>BA49*AZ49</f>
        <v>0.393577474039917</v>
      </c>
      <c r="BD49" s="214"/>
      <c r="BE49" s="214"/>
      <c r="BF49" s="72"/>
      <c r="BG49" s="127"/>
      <c r="BH49" s="72"/>
      <c r="BI49" s="72"/>
      <c r="BJ49" s="72"/>
      <c r="BQ49" s="282">
        <v>32</v>
      </c>
      <c r="BR49" s="283" t="s">
        <v>109</v>
      </c>
      <c r="BS49" s="284">
        <v>0.48479506390480392</v>
      </c>
      <c r="BT49" s="284">
        <v>0.16923754958131337</v>
      </c>
      <c r="BU49" s="284">
        <v>0.34596738651388281</v>
      </c>
      <c r="BV49" s="285">
        <v>133.65333333333334</v>
      </c>
      <c r="BW49">
        <v>33.413333333333334</v>
      </c>
      <c r="BX49">
        <v>0.20206418319625868</v>
      </c>
      <c r="BY49" s="286">
        <v>0.80825673278503474</v>
      </c>
      <c r="BZ49" s="134">
        <f t="shared" si="0"/>
        <v>0.19174326721496526</v>
      </c>
      <c r="CA49" s="72"/>
      <c r="CB49" s="72"/>
      <c r="CC49" s="72"/>
      <c r="CG49" s="72"/>
    </row>
    <row r="50" spans="4:85">
      <c r="D50" s="72"/>
      <c r="AT50" s="127"/>
      <c r="AU50" s="193">
        <v>0.45372050816696918</v>
      </c>
      <c r="AV50" s="193">
        <v>0.19918330308529944</v>
      </c>
      <c r="AW50" s="193">
        <v>0.3470961887477314</v>
      </c>
      <c r="AX50" s="193">
        <v>131.49333333333334</v>
      </c>
      <c r="AY50" s="125">
        <v>0.32189526844113597</v>
      </c>
      <c r="AZ50" s="217">
        <f t="shared" si="6"/>
        <v>0.67810473155886397</v>
      </c>
      <c r="BA50" s="215">
        <v>0.54342120395432714</v>
      </c>
      <c r="BB50" s="215">
        <v>0.29428456752433269</v>
      </c>
      <c r="BC50" s="220">
        <f>BA50*AZ50</f>
        <v>0.36849648963084369</v>
      </c>
      <c r="BD50" s="214"/>
      <c r="BE50" s="214"/>
      <c r="BF50" s="72"/>
      <c r="BG50" s="127"/>
      <c r="BH50" s="72"/>
      <c r="BI50" s="72"/>
      <c r="BJ50" s="72"/>
      <c r="BQ50" s="282">
        <v>33</v>
      </c>
      <c r="BR50" s="283" t="s">
        <v>109</v>
      </c>
      <c r="BS50" s="284">
        <v>0.48447478528958382</v>
      </c>
      <c r="BT50" s="284">
        <v>0.19951552521471044</v>
      </c>
      <c r="BU50" s="284">
        <v>0.31490861043822949</v>
      </c>
      <c r="BV50" s="285">
        <v>132.02666666666667</v>
      </c>
      <c r="BW50">
        <v>33.006666666666668</v>
      </c>
      <c r="BX50">
        <v>0.19960490243509113</v>
      </c>
      <c r="BY50" s="286">
        <v>0.79841960974036452</v>
      </c>
      <c r="BZ50" s="134">
        <f t="shared" si="0"/>
        <v>0.20158039025963548</v>
      </c>
      <c r="CG50" s="72"/>
    </row>
    <row r="51" spans="4:85">
      <c r="AU51" s="211">
        <v>0.61085972850678727</v>
      </c>
      <c r="AV51" s="211">
        <v>0</v>
      </c>
      <c r="AW51" s="211">
        <v>0.38914027149321262</v>
      </c>
      <c r="AX51" s="211">
        <v>133.14666666666668</v>
      </c>
      <c r="AY51" s="218">
        <v>0.34238319373504122</v>
      </c>
      <c r="AZ51" s="219">
        <f t="shared" si="6"/>
        <v>0.65761680626495878</v>
      </c>
      <c r="BA51" s="216">
        <v>0.75295277138654582</v>
      </c>
      <c r="BB51" s="216">
        <v>0.31386306587748147</v>
      </c>
      <c r="BC51" s="226" t="e">
        <f>#REF!</f>
        <v>#REF!</v>
      </c>
      <c r="BD51" s="214"/>
      <c r="BE51" s="214"/>
      <c r="BF51" s="72"/>
      <c r="BG51" s="127"/>
      <c r="BH51" s="72"/>
      <c r="BI51" s="72"/>
      <c r="BJ51" s="72"/>
      <c r="BQ51" s="282">
        <v>34</v>
      </c>
      <c r="BR51" s="283" t="s">
        <v>109</v>
      </c>
      <c r="BS51" s="284">
        <v>0.48447478528958382</v>
      </c>
      <c r="BT51" s="284">
        <v>0.13895617705351243</v>
      </c>
      <c r="BU51" s="284">
        <v>0.3765690376569038</v>
      </c>
      <c r="BV51" s="285">
        <v>136.08000000000001</v>
      </c>
      <c r="BW51">
        <v>34.020000000000003</v>
      </c>
      <c r="BX51">
        <v>0.20573294629898406</v>
      </c>
      <c r="BY51" s="286">
        <v>0.82293178519593624</v>
      </c>
      <c r="BZ51" s="134">
        <f t="shared" si="0"/>
        <v>0.17706821480406376</v>
      </c>
    </row>
    <row r="52" spans="4:85">
      <c r="AB52" s="127" t="e">
        <f>#REF!</f>
        <v>#REF!</v>
      </c>
      <c r="AD52" s="78" t="s">
        <v>102</v>
      </c>
      <c r="AE52" s="11" t="s">
        <v>51</v>
      </c>
      <c r="AH52" s="7" t="s">
        <v>99</v>
      </c>
      <c r="AI52" s="27" t="s">
        <v>103</v>
      </c>
      <c r="AJ52" s="27" t="s">
        <v>30</v>
      </c>
      <c r="AL52" s="204">
        <v>0.59734513274336276</v>
      </c>
      <c r="AM52" s="204">
        <v>0</v>
      </c>
      <c r="AN52" s="204">
        <v>0.40265486725663713</v>
      </c>
      <c r="AP52" s="204">
        <v>133.81333333333333</v>
      </c>
      <c r="AR52" s="126">
        <v>0.35387325156289595</v>
      </c>
      <c r="AT52" s="7"/>
      <c r="AU52" s="190">
        <v>0.48447478528958382</v>
      </c>
      <c r="AV52" s="190">
        <v>0.13895617705351243</v>
      </c>
      <c r="AW52" s="190">
        <v>0.3765690376569038</v>
      </c>
      <c r="AX52" s="190">
        <v>136.08000000000001</v>
      </c>
      <c r="AY52" s="125">
        <v>0.34233921511046433</v>
      </c>
      <c r="AZ52" s="217">
        <f t="shared" si="6"/>
        <v>0.65766078488953572</v>
      </c>
      <c r="BA52" s="215">
        <v>0.5978902457411267</v>
      </c>
      <c r="BB52" s="215">
        <v>0.3145504720942503</v>
      </c>
      <c r="BC52" s="220">
        <f>BA52*AZ52</f>
        <v>0.39320896829190677</v>
      </c>
      <c r="BD52" s="214"/>
      <c r="BE52" s="214"/>
      <c r="BF52" s="72"/>
      <c r="BG52" s="127"/>
      <c r="BH52" s="72"/>
      <c r="BI52" s="72"/>
      <c r="BJ52" s="72"/>
      <c r="BQ52" s="282">
        <v>35</v>
      </c>
      <c r="BR52" s="283" t="s">
        <v>109</v>
      </c>
      <c r="BS52" s="284">
        <v>0.42390843577787196</v>
      </c>
      <c r="BT52" s="284">
        <v>0.16913946587537093</v>
      </c>
      <c r="BU52" s="284">
        <v>0.40695209834675711</v>
      </c>
      <c r="BV52" s="285">
        <v>135.62666666666669</v>
      </c>
      <c r="BW52">
        <v>33.906666666666673</v>
      </c>
      <c r="BX52">
        <v>0.20504757297210133</v>
      </c>
      <c r="BY52" s="286">
        <v>0.82019029188840531</v>
      </c>
      <c r="BZ52" s="134">
        <f t="shared" si="0"/>
        <v>0.17980970811159469</v>
      </c>
    </row>
    <row r="53" spans="4:85">
      <c r="F53" s="72"/>
      <c r="H53" s="127"/>
      <c r="J53" s="78" t="s">
        <v>102</v>
      </c>
      <c r="K53" s="11" t="s">
        <v>51</v>
      </c>
      <c r="M53" s="7" t="s">
        <v>99</v>
      </c>
      <c r="N53" s="27" t="s">
        <v>103</v>
      </c>
      <c r="O53" s="27" t="s">
        <v>30</v>
      </c>
      <c r="Q53" s="190">
        <v>0.48479506390480392</v>
      </c>
      <c r="R53" s="190">
        <v>0.16923754958131337</v>
      </c>
      <c r="S53" s="190">
        <v>0.34596738651388281</v>
      </c>
      <c r="U53" s="190">
        <v>133.65333333333334</v>
      </c>
      <c r="AD53" s="11" t="s">
        <v>105</v>
      </c>
      <c r="AE53" s="128">
        <v>0.74938810217856811</v>
      </c>
      <c r="AH53" s="11">
        <v>2</v>
      </c>
      <c r="AI53" s="99">
        <v>470</v>
      </c>
      <c r="AJ53" s="123">
        <v>0</v>
      </c>
      <c r="AT53" s="127"/>
      <c r="AU53" s="190">
        <v>0.45392646391284608</v>
      </c>
      <c r="AV53" s="190">
        <v>0.1693145710394916</v>
      </c>
      <c r="AW53" s="190">
        <v>0.37675896504766226</v>
      </c>
      <c r="AX53" s="190">
        <v>131.09333333333333</v>
      </c>
      <c r="AY53" s="125">
        <v>0.34482637033034785</v>
      </c>
      <c r="AZ53" s="217">
        <f t="shared" si="6"/>
        <v>0.6551736296696522</v>
      </c>
      <c r="BA53" s="215">
        <v>0.56253188891860884</v>
      </c>
      <c r="BB53" s="215">
        <v>0.31721412851042335</v>
      </c>
      <c r="BC53" s="220">
        <f>BA53*AZ53</f>
        <v>0.36855605946773057</v>
      </c>
      <c r="BD53" s="214"/>
      <c r="BE53" s="214"/>
      <c r="BF53" s="72"/>
      <c r="BG53" s="127"/>
      <c r="BH53" s="72"/>
      <c r="BI53" s="72"/>
      <c r="BJ53" s="72"/>
      <c r="BQ53" s="282">
        <v>36</v>
      </c>
      <c r="BR53" s="283" t="s">
        <v>109</v>
      </c>
      <c r="BS53" s="284">
        <v>0.42337002540220159</v>
      </c>
      <c r="BT53" s="284">
        <v>0.1384419983065199</v>
      </c>
      <c r="BU53" s="284">
        <v>0.43818797629127859</v>
      </c>
      <c r="BV53" s="285">
        <v>134.69333333333336</v>
      </c>
      <c r="BW53">
        <v>33.673333333333339</v>
      </c>
      <c r="BX53">
        <v>0.20363651024028387</v>
      </c>
      <c r="BY53" s="286">
        <v>0.81454604096113548</v>
      </c>
      <c r="BZ53" s="134">
        <f t="shared" si="0"/>
        <v>0.18545395903886452</v>
      </c>
    </row>
    <row r="54" spans="4:85">
      <c r="J54" s="11" t="s">
        <v>105</v>
      </c>
      <c r="K54" s="128">
        <v>0.57763635880680286</v>
      </c>
      <c r="M54" s="11"/>
      <c r="N54" s="99">
        <v>470</v>
      </c>
      <c r="O54" s="123">
        <v>0</v>
      </c>
      <c r="AD54" s="11" t="s">
        <v>106</v>
      </c>
      <c r="AE54" s="128">
        <v>0.32543108998437797</v>
      </c>
      <c r="AT54" s="222">
        <v>134.66666666666669</v>
      </c>
      <c r="AU54" s="190">
        <v>0.42390843577787196</v>
      </c>
      <c r="AV54" s="190">
        <v>0.19923696481559983</v>
      </c>
      <c r="AW54" s="190">
        <v>0.37685459940652821</v>
      </c>
      <c r="AX54" s="190">
        <v>130.16</v>
      </c>
      <c r="AY54" s="125">
        <v>0.34720003867538729</v>
      </c>
      <c r="AZ54" s="217">
        <f t="shared" si="6"/>
        <v>0.65279996132461271</v>
      </c>
      <c r="BA54" s="215">
        <v>0.52746843688890843</v>
      </c>
      <c r="BB54" s="215">
        <v>0.31976115336472843</v>
      </c>
      <c r="BC54" s="220">
        <f>BA54*AZ54</f>
        <v>0.34433137520103335</v>
      </c>
      <c r="BD54" s="214"/>
      <c r="BE54" s="214"/>
      <c r="BF54" s="72"/>
      <c r="BG54" s="127"/>
      <c r="BH54" s="72"/>
      <c r="BI54" s="72"/>
      <c r="BJ54" s="72"/>
      <c r="BQ54" s="282">
        <v>37</v>
      </c>
      <c r="BR54" s="283" t="s">
        <v>109</v>
      </c>
      <c r="BS54" s="284">
        <v>0.42372881355932202</v>
      </c>
      <c r="BT54" s="284">
        <v>0.19915254237288135</v>
      </c>
      <c r="BU54" s="284">
        <v>0.3771186440677966</v>
      </c>
      <c r="BV54" s="285">
        <v>134.66666666666669</v>
      </c>
      <c r="BW54">
        <v>33.666666666666671</v>
      </c>
      <c r="BX54">
        <v>0.20359619416223193</v>
      </c>
      <c r="BY54" s="286">
        <v>0.81438477664892772</v>
      </c>
      <c r="BZ54" s="134">
        <f t="shared" si="0"/>
        <v>0.18561522335107228</v>
      </c>
    </row>
    <row r="55" spans="4:85" ht="15" thickBot="1">
      <c r="J55" s="11" t="s">
        <v>106</v>
      </c>
      <c r="K55" s="128">
        <v>0.29085126239152748</v>
      </c>
      <c r="AU55" s="201">
        <v>0.59734513274336276</v>
      </c>
      <c r="AV55" s="201">
        <v>0</v>
      </c>
      <c r="AW55" s="201">
        <v>0.40265486725663713</v>
      </c>
      <c r="AX55" s="201">
        <v>133.81333333333333</v>
      </c>
      <c r="AY55" s="218">
        <v>0.35387325156289595</v>
      </c>
      <c r="AZ55" s="219">
        <f t="shared" si="6"/>
        <v>0.64612674843710405</v>
      </c>
      <c r="BA55" s="216">
        <v>0.74938810217856811</v>
      </c>
      <c r="BB55" s="216">
        <v>0.32543108998437797</v>
      </c>
      <c r="BC55" s="221">
        <v>0.48677921271080815</v>
      </c>
      <c r="BD55" s="214"/>
      <c r="BE55" s="214"/>
      <c r="BF55" s="72"/>
      <c r="BG55" s="127"/>
      <c r="BH55" s="72"/>
      <c r="BI55" s="72"/>
      <c r="BJ55" s="72"/>
      <c r="BQ55" s="282">
        <v>38</v>
      </c>
      <c r="BR55" s="283" t="s">
        <v>110</v>
      </c>
      <c r="BS55" s="284">
        <v>0.59734513274336276</v>
      </c>
      <c r="BT55" s="284"/>
      <c r="BU55" s="284">
        <v>0.40265486725663713</v>
      </c>
      <c r="BV55" s="285">
        <v>133.81333333333333</v>
      </c>
      <c r="BW55">
        <v>33.453333333333333</v>
      </c>
      <c r="BX55">
        <v>0.20230607966457023</v>
      </c>
      <c r="BY55" s="286">
        <v>0.80922431865828093</v>
      </c>
      <c r="BZ55" s="134">
        <f t="shared" si="0"/>
        <v>0.19077568134171907</v>
      </c>
    </row>
    <row r="56" spans="4:85" ht="15" thickBot="1">
      <c r="AU56" s="208">
        <v>0.5818965517241379</v>
      </c>
      <c r="AV56" s="208">
        <v>0</v>
      </c>
      <c r="AW56" s="208">
        <v>0.41810344827586204</v>
      </c>
      <c r="AX56" s="208">
        <v>136.66666666666666</v>
      </c>
      <c r="AY56" s="218">
        <v>0.36700757734423034</v>
      </c>
      <c r="AZ56" s="219">
        <f t="shared" si="6"/>
        <v>0.63299242265576972</v>
      </c>
      <c r="BA56" s="216">
        <v>0.74515480021471081</v>
      </c>
      <c r="BB56" s="216">
        <v>0.33865453823070957</v>
      </c>
      <c r="BC56" s="221">
        <v>0.4741758754322335</v>
      </c>
      <c r="BD56" s="214"/>
      <c r="BE56" s="214"/>
      <c r="BF56" s="72"/>
      <c r="BG56" s="127"/>
      <c r="BH56" s="72"/>
      <c r="BI56" s="72"/>
      <c r="BJ56" s="72"/>
      <c r="BQ56" s="282">
        <v>39</v>
      </c>
      <c r="BR56" s="283" t="s">
        <v>110</v>
      </c>
      <c r="BS56" s="284">
        <v>0.61085972850678727</v>
      </c>
      <c r="BT56" s="284"/>
      <c r="BU56" s="284">
        <v>0.38914027149321262</v>
      </c>
      <c r="BV56" s="285">
        <v>132.55999999999997</v>
      </c>
      <c r="BW56">
        <v>33.139999999999993</v>
      </c>
      <c r="BX56">
        <v>0.20041122399612962</v>
      </c>
      <c r="BY56" s="286">
        <v>0.80164489598451849</v>
      </c>
      <c r="BZ56" s="134">
        <f t="shared" si="0"/>
        <v>0.19835510401548151</v>
      </c>
    </row>
    <row r="57" spans="4:85">
      <c r="AT57" s="127"/>
      <c r="AU57" s="190">
        <v>0.4533091568449682</v>
      </c>
      <c r="AV57" s="190">
        <v>0.13871260199456029</v>
      </c>
      <c r="AW57" s="190">
        <v>0.40797824116047138</v>
      </c>
      <c r="AX57" s="190">
        <v>132.48000000000002</v>
      </c>
      <c r="AY57" s="125">
        <v>0.36902466379497156</v>
      </c>
      <c r="AZ57" s="217">
        <f t="shared" si="6"/>
        <v>0.63097533620502844</v>
      </c>
      <c r="BA57" s="215">
        <v>0.58313792558127309</v>
      </c>
      <c r="BB57" s="215">
        <v>0.34141559127621851</v>
      </c>
      <c r="BC57" s="220">
        <f>BA57*AZ57</f>
        <v>0.36794564864754664</v>
      </c>
      <c r="BD57" s="214"/>
      <c r="BE57" s="214"/>
      <c r="BF57" s="72"/>
      <c r="BG57" s="127"/>
      <c r="BH57" s="72"/>
      <c r="BI57" s="72"/>
      <c r="BJ57" s="72"/>
      <c r="BQ57" s="282">
        <v>40</v>
      </c>
      <c r="BR57" s="283" t="s">
        <v>110</v>
      </c>
      <c r="BS57" s="284">
        <v>0.5818965517241379</v>
      </c>
      <c r="BT57" s="284"/>
      <c r="BU57" s="284">
        <v>0.41810344827586204</v>
      </c>
      <c r="BV57" s="285">
        <v>136.66666666666666</v>
      </c>
      <c r="BW57">
        <v>34.166666666666664</v>
      </c>
      <c r="BX57">
        <v>0.20661990001612643</v>
      </c>
      <c r="BY57" s="286">
        <v>0.82647960006450572</v>
      </c>
      <c r="BZ57" s="134">
        <f t="shared" si="0"/>
        <v>0.17352039993549428</v>
      </c>
    </row>
    <row r="58" spans="4:85" ht="15" thickBot="1">
      <c r="AU58" s="193">
        <v>0.42390843577787196</v>
      </c>
      <c r="AV58" s="193">
        <v>0.16913946587537093</v>
      </c>
      <c r="AW58" s="193">
        <v>0.40695209834675711</v>
      </c>
      <c r="AX58" s="193">
        <v>135.62666666666669</v>
      </c>
      <c r="AY58" s="125">
        <v>0.37048319634007487</v>
      </c>
      <c r="AZ58" s="217">
        <f t="shared" si="6"/>
        <v>0.62951680365992513</v>
      </c>
      <c r="BA58" s="215">
        <v>0.54680540434311609</v>
      </c>
      <c r="BB58" s="215">
        <v>0.34304397478921717</v>
      </c>
      <c r="BC58" s="125">
        <f>BA58*AZ58</f>
        <v>0.34422319036605137</v>
      </c>
      <c r="BQ58" s="282">
        <v>41</v>
      </c>
      <c r="BR58" s="283" t="s">
        <v>110</v>
      </c>
      <c r="BS58" s="284">
        <v>0.56657223796033995</v>
      </c>
      <c r="BT58" s="284"/>
      <c r="BU58" s="284">
        <v>0.43342776203966005</v>
      </c>
      <c r="BV58" s="285">
        <v>135.22666666666669</v>
      </c>
      <c r="BW58">
        <v>33.806666666666672</v>
      </c>
      <c r="BX58">
        <v>0.20444283180132242</v>
      </c>
      <c r="BY58" s="286">
        <v>0.81777132720528967</v>
      </c>
      <c r="BZ58" s="134">
        <f t="shared" si="0"/>
        <v>0.18222867279471033</v>
      </c>
    </row>
    <row r="59" spans="4:85" ht="15" thickBot="1">
      <c r="AU59" s="208">
        <v>0.56657223796033995</v>
      </c>
      <c r="AV59" s="208">
        <v>0</v>
      </c>
      <c r="AW59" s="208">
        <v>0.43342776203966005</v>
      </c>
      <c r="AX59" s="208">
        <v>135.22666666666669</v>
      </c>
      <c r="AY59" s="218">
        <v>0.38003625275209435</v>
      </c>
      <c r="AZ59" s="219">
        <f t="shared" si="6"/>
        <v>0.61996374724790559</v>
      </c>
      <c r="BA59" s="216">
        <v>0.74077833774877022</v>
      </c>
      <c r="BB59" s="216">
        <v>0.35177161802683821</v>
      </c>
      <c r="BC59" s="218">
        <v>0.46167408483593442</v>
      </c>
      <c r="BQ59" s="282">
        <v>42</v>
      </c>
      <c r="BR59" s="283" t="s">
        <v>110</v>
      </c>
      <c r="BS59" s="284">
        <v>0.5524861878453039</v>
      </c>
      <c r="BT59" s="284"/>
      <c r="BU59" s="284">
        <v>0.44751381215469616</v>
      </c>
      <c r="BV59" s="285">
        <v>135.76000000000002</v>
      </c>
      <c r="BW59">
        <v>33.940000000000005</v>
      </c>
      <c r="BX59">
        <v>0.20524915336236096</v>
      </c>
      <c r="BY59" s="286">
        <v>0.82099661344944386</v>
      </c>
      <c r="BZ59" s="134">
        <f t="shared" si="0"/>
        <v>0.17900338655055614</v>
      </c>
    </row>
    <row r="60" spans="4:85">
      <c r="AU60" s="211">
        <v>0.5524861878453039</v>
      </c>
      <c r="AV60" s="211">
        <v>0</v>
      </c>
      <c r="AW60" s="211">
        <v>0.44751381215469616</v>
      </c>
      <c r="AX60" s="211">
        <v>135.76000000000002</v>
      </c>
      <c r="AY60" s="218">
        <v>0.39201216204690681</v>
      </c>
      <c r="AZ60" s="219">
        <f t="shared" si="6"/>
        <v>0.60798783795309319</v>
      </c>
      <c r="BA60" s="216">
        <v>0.73659006348867362</v>
      </c>
      <c r="BB60" s="216">
        <v>0.36382878719076445</v>
      </c>
      <c r="BC60" s="218">
        <v>0.45018264244560424</v>
      </c>
      <c r="BQ60" s="282">
        <v>43</v>
      </c>
      <c r="BR60" s="283" t="s">
        <v>109</v>
      </c>
      <c r="BS60" s="284">
        <v>0.42390843577787196</v>
      </c>
      <c r="BT60" s="284">
        <v>0.19923696481559983</v>
      </c>
      <c r="BU60" s="284">
        <v>0.37685459940652821</v>
      </c>
      <c r="BV60" s="285">
        <v>130.16</v>
      </c>
      <c r="BW60">
        <v>32.54</v>
      </c>
      <c r="BX60">
        <v>0.19678277697145621</v>
      </c>
      <c r="BY60" s="286">
        <v>0.78713110788582485</v>
      </c>
      <c r="BZ60" s="134">
        <f t="shared" si="0"/>
        <v>0.21286889211417515</v>
      </c>
    </row>
    <row r="61" spans="4:85">
      <c r="AU61" s="190">
        <v>0.42337002540220159</v>
      </c>
      <c r="AV61" s="190">
        <v>0.1384419983065199</v>
      </c>
      <c r="AW61" s="190">
        <v>0.43818797629127859</v>
      </c>
      <c r="AX61" s="190">
        <v>134.69333333333336</v>
      </c>
      <c r="AY61" s="125">
        <v>0.39468826798077178</v>
      </c>
      <c r="AZ61" s="217">
        <f t="shared" si="6"/>
        <v>0.60531173201922828</v>
      </c>
      <c r="BA61" s="215">
        <v>0.5677676230218065</v>
      </c>
      <c r="BB61" s="215">
        <v>0.36725178047191565</v>
      </c>
      <c r="BC61" s="125">
        <f>BA61*AZ61</f>
        <v>0.34367640327576998</v>
      </c>
    </row>
    <row r="63" spans="4:85">
      <c r="BH63" s="29"/>
      <c r="BI63" s="29"/>
      <c r="BJ63" s="29"/>
    </row>
    <row r="64" spans="4:85">
      <c r="BA64" s="29"/>
      <c r="BB64" s="214"/>
      <c r="BC64" s="214"/>
      <c r="BD64" s="214"/>
      <c r="BE64" s="214"/>
      <c r="BF64" s="72"/>
      <c r="BG64" s="127"/>
      <c r="BH64" s="72"/>
      <c r="BI64" s="72"/>
      <c r="BJ64" s="72"/>
    </row>
    <row r="65" spans="28:62">
      <c r="AT65" s="222">
        <v>134.66666666666669</v>
      </c>
      <c r="AU65" s="190">
        <v>0.42390843577787196</v>
      </c>
      <c r="AV65" s="190">
        <v>0.19923696481559983</v>
      </c>
      <c r="AW65" s="190">
        <v>0.37685459940652821</v>
      </c>
      <c r="AX65" s="190">
        <v>130.16</v>
      </c>
      <c r="AY65" s="125">
        <v>0.34720003867538729</v>
      </c>
      <c r="AZ65" s="217">
        <f t="shared" ref="AZ65:AZ78" si="7">1-AY65</f>
        <v>0.65279996132461271</v>
      </c>
      <c r="BA65" s="215">
        <v>0.52746843688890843</v>
      </c>
      <c r="BB65" s="215">
        <v>0.31976115336472843</v>
      </c>
      <c r="BC65" s="220">
        <f>BA65*AZ65</f>
        <v>0.34433137520103335</v>
      </c>
      <c r="BD65" s="214"/>
      <c r="BE65" s="214"/>
      <c r="BF65" s="72"/>
      <c r="BG65" s="127"/>
      <c r="BH65" s="72"/>
      <c r="BI65" s="72"/>
      <c r="BJ65" s="72"/>
    </row>
    <row r="66" spans="28:62">
      <c r="AT66" s="127"/>
      <c r="AU66" s="190">
        <v>0.45392646391284608</v>
      </c>
      <c r="AV66" s="190">
        <v>0.1693145710394916</v>
      </c>
      <c r="AW66" s="190">
        <v>0.37675896504766226</v>
      </c>
      <c r="AX66" s="190">
        <v>131.09333333333333</v>
      </c>
      <c r="AY66" s="125">
        <v>0.34482637033034785</v>
      </c>
      <c r="AZ66" s="217">
        <f t="shared" si="7"/>
        <v>0.6551736296696522</v>
      </c>
      <c r="BA66" s="215">
        <v>0.56253188891860884</v>
      </c>
      <c r="BB66" s="215">
        <v>0.31721412851042335</v>
      </c>
      <c r="BC66" s="220">
        <f>BA66*AZ66</f>
        <v>0.36855605946773057</v>
      </c>
      <c r="BD66" s="214"/>
      <c r="BE66" s="214"/>
      <c r="BF66" s="72"/>
      <c r="BG66" s="127"/>
      <c r="BH66" s="72"/>
      <c r="BI66" s="72"/>
      <c r="BJ66" s="72"/>
    </row>
    <row r="67" spans="28:62">
      <c r="AT67" s="127"/>
      <c r="AU67" s="193">
        <v>0.45372050816696918</v>
      </c>
      <c r="AV67" s="193">
        <v>0.19918330308529944</v>
      </c>
      <c r="AW67" s="193">
        <v>0.3470961887477314</v>
      </c>
      <c r="AX67" s="193">
        <v>131.49333333333334</v>
      </c>
      <c r="AY67" s="125">
        <v>0.32189526844113597</v>
      </c>
      <c r="AZ67" s="217">
        <f t="shared" si="7"/>
        <v>0.67810473155886397</v>
      </c>
      <c r="BA67" s="215">
        <v>0.54342120395432714</v>
      </c>
      <c r="BB67" s="215">
        <v>0.29428456752433269</v>
      </c>
      <c r="BC67" s="220">
        <f>BA67*AZ67</f>
        <v>0.36849648963084369</v>
      </c>
      <c r="BD67" s="214"/>
      <c r="BE67" s="214"/>
      <c r="BF67" s="72"/>
      <c r="BG67" s="127"/>
      <c r="BH67" s="72"/>
      <c r="BI67" s="72"/>
      <c r="BJ67" s="72"/>
    </row>
    <row r="68" spans="28:62">
      <c r="AU68" s="199">
        <v>0.48447478528958382</v>
      </c>
      <c r="AV68" s="199">
        <v>0.19951552521471044</v>
      </c>
      <c r="AW68" s="199">
        <v>0.31490861043822949</v>
      </c>
      <c r="AX68" s="199">
        <v>132.02666666666667</v>
      </c>
      <c r="AY68" s="125">
        <v>0.29454643422405358</v>
      </c>
      <c r="AZ68" s="217">
        <f t="shared" si="7"/>
        <v>0.70545356577594642</v>
      </c>
      <c r="BA68" s="215">
        <v>0.55856166329815216</v>
      </c>
      <c r="BB68" s="215">
        <v>0.26675413378132928</v>
      </c>
      <c r="BC68" s="220">
        <f>BA68*AZ68</f>
        <v>0.39403931707942502</v>
      </c>
      <c r="BD68" s="214"/>
      <c r="BE68" s="214"/>
      <c r="BF68" s="72"/>
      <c r="BG68" s="127"/>
      <c r="BH68" s="72"/>
      <c r="BI68" s="72"/>
      <c r="BJ68" s="72"/>
    </row>
    <row r="69" spans="28:62">
      <c r="AT69" s="227"/>
      <c r="AU69" s="190">
        <v>0.4533091568449682</v>
      </c>
      <c r="AV69" s="190">
        <v>0.13871260199456029</v>
      </c>
      <c r="AW69" s="190">
        <v>0.40797824116047138</v>
      </c>
      <c r="AX69" s="190">
        <v>132.48000000000002</v>
      </c>
      <c r="AY69" s="125">
        <v>0.36902466379497156</v>
      </c>
      <c r="AZ69" s="217">
        <f t="shared" si="7"/>
        <v>0.63097533620502844</v>
      </c>
      <c r="BA69" s="215">
        <v>0.58313792558127309</v>
      </c>
      <c r="BB69" s="215">
        <v>0.34141559127621851</v>
      </c>
      <c r="BC69" s="220">
        <f>BA69*AZ69</f>
        <v>0.36794564864754664</v>
      </c>
      <c r="BD69" s="214"/>
      <c r="BE69" s="214"/>
      <c r="BF69" s="72"/>
      <c r="BG69" s="127"/>
      <c r="BH69" s="72"/>
      <c r="BI69" s="72"/>
      <c r="BJ69" s="72"/>
    </row>
    <row r="70" spans="28:62">
      <c r="AU70" s="201">
        <v>0.61085972850678727</v>
      </c>
      <c r="AV70" s="201">
        <v>0</v>
      </c>
      <c r="AW70" s="201">
        <v>0.38914027149321262</v>
      </c>
      <c r="AX70" s="201">
        <v>133.14666666666668</v>
      </c>
      <c r="AY70" s="218">
        <v>0.34238319373504122</v>
      </c>
      <c r="AZ70" s="219">
        <f t="shared" si="7"/>
        <v>0.65761680626495878</v>
      </c>
      <c r="BA70" s="216">
        <v>0.75295277138654582</v>
      </c>
      <c r="BB70" s="216">
        <v>0.31386306587748147</v>
      </c>
      <c r="BC70" s="226" t="e">
        <f>#REF!</f>
        <v>#REF!</v>
      </c>
      <c r="BD70" s="214"/>
      <c r="BE70" s="214"/>
      <c r="BF70" s="72"/>
      <c r="BG70" s="127"/>
      <c r="BH70" s="72"/>
      <c r="BI70" s="72"/>
      <c r="BJ70" s="72"/>
    </row>
    <row r="71" spans="28:62">
      <c r="AT71" s="127"/>
      <c r="AU71" s="190">
        <v>0.48479506390480392</v>
      </c>
      <c r="AV71" s="190">
        <v>0.16923754958131337</v>
      </c>
      <c r="AW71" s="190">
        <v>0.34596738651388281</v>
      </c>
      <c r="AX71" s="190">
        <v>133.65333333333334</v>
      </c>
      <c r="AY71" s="125">
        <v>0.31864144623286517</v>
      </c>
      <c r="AZ71" s="217">
        <f t="shared" si="7"/>
        <v>0.68135855376713483</v>
      </c>
      <c r="BA71" s="215">
        <v>0.57763635880680286</v>
      </c>
      <c r="BB71" s="215">
        <v>0.29085126239152748</v>
      </c>
      <c r="BC71" s="220">
        <f>BA71*AZ71</f>
        <v>0.393577474039917</v>
      </c>
      <c r="BD71" s="214"/>
      <c r="BE71" s="214"/>
      <c r="BF71" s="72"/>
      <c r="BG71" s="127"/>
      <c r="BH71" s="72"/>
      <c r="BI71" s="72"/>
      <c r="BJ71" s="72"/>
    </row>
    <row r="72" spans="28:62" ht="15" thickBot="1">
      <c r="AU72" s="201">
        <v>0.59734513274336276</v>
      </c>
      <c r="AV72" s="201">
        <v>0</v>
      </c>
      <c r="AW72" s="201">
        <v>0.40265486725663713</v>
      </c>
      <c r="AX72" s="201">
        <v>133.81333333333333</v>
      </c>
      <c r="AY72" s="218">
        <v>0.35387325156289595</v>
      </c>
      <c r="AZ72" s="219">
        <f t="shared" si="7"/>
        <v>0.64612674843710405</v>
      </c>
      <c r="BA72" s="216">
        <v>0.74938810217856811</v>
      </c>
      <c r="BB72" s="216">
        <v>0.32543108998437797</v>
      </c>
      <c r="BC72" s="221">
        <v>0.48677921271080815</v>
      </c>
      <c r="BD72" s="214"/>
      <c r="BE72" s="214"/>
      <c r="BF72" s="72"/>
      <c r="BG72" s="127"/>
      <c r="BH72" s="72"/>
      <c r="BI72" s="72"/>
      <c r="BJ72" s="72"/>
    </row>
    <row r="73" spans="28:62" ht="15" thickBot="1">
      <c r="AU73" s="196">
        <v>0.42337002540220159</v>
      </c>
      <c r="AV73" s="196">
        <v>0.1384419983065199</v>
      </c>
      <c r="AW73" s="196">
        <v>0.43818797629127859</v>
      </c>
      <c r="AX73" s="196">
        <v>134.69333333333336</v>
      </c>
      <c r="AY73" s="125">
        <v>0.39468826798077178</v>
      </c>
      <c r="AZ73" s="217">
        <f t="shared" si="7"/>
        <v>0.60531173201922828</v>
      </c>
      <c r="BA73" s="215">
        <v>0.5677676230218065</v>
      </c>
      <c r="BB73" s="215">
        <v>0.36725178047191565</v>
      </c>
      <c r="BC73" s="220">
        <f>BA73*AZ73</f>
        <v>0.34367640327576998</v>
      </c>
    </row>
    <row r="74" spans="28:62">
      <c r="AU74" s="201">
        <v>0.56657223796033995</v>
      </c>
      <c r="AV74" s="201">
        <v>0</v>
      </c>
      <c r="AW74" s="201">
        <v>0.43342776203966005</v>
      </c>
      <c r="AX74" s="201">
        <v>135.22666666666669</v>
      </c>
      <c r="AY74" s="218">
        <v>0.38003625275209435</v>
      </c>
      <c r="AZ74" s="219">
        <f t="shared" si="7"/>
        <v>0.61996374724790559</v>
      </c>
      <c r="BA74" s="216">
        <v>0.74077833774877022</v>
      </c>
      <c r="BB74" s="216">
        <v>0.35177161802683821</v>
      </c>
      <c r="BC74" s="221">
        <v>0.46167408483593442</v>
      </c>
    </row>
    <row r="75" spans="28:62" ht="15" thickBot="1">
      <c r="AU75" s="193">
        <v>0.42390843577787196</v>
      </c>
      <c r="AV75" s="193">
        <v>0.16913946587537093</v>
      </c>
      <c r="AW75" s="193">
        <v>0.40695209834675711</v>
      </c>
      <c r="AX75" s="193">
        <v>135.62666666666669</v>
      </c>
      <c r="AY75" s="125">
        <v>0.37048319634007487</v>
      </c>
      <c r="AZ75" s="217">
        <f t="shared" si="7"/>
        <v>0.62951680365992513</v>
      </c>
      <c r="BA75" s="215">
        <v>0.54680540434311609</v>
      </c>
      <c r="BB75" s="215">
        <v>0.34304397478921717</v>
      </c>
      <c r="BC75" s="125">
        <f>BA75*AZ75</f>
        <v>0.34422319036605137</v>
      </c>
    </row>
    <row r="76" spans="28:62" ht="15" thickBot="1">
      <c r="AU76" s="208">
        <v>0.5524861878453039</v>
      </c>
      <c r="AV76" s="208">
        <v>0</v>
      </c>
      <c r="AW76" s="208">
        <v>0.44751381215469616</v>
      </c>
      <c r="AX76" s="208">
        <v>135.76000000000002</v>
      </c>
      <c r="AY76" s="218">
        <v>0.39201216204690681</v>
      </c>
      <c r="AZ76" s="219">
        <f t="shared" si="7"/>
        <v>0.60798783795309319</v>
      </c>
      <c r="BA76" s="216">
        <v>0.73659006348867362</v>
      </c>
      <c r="BB76" s="216">
        <v>0.36382878719076445</v>
      </c>
      <c r="BC76" s="218">
        <v>0.45018264244560424</v>
      </c>
    </row>
    <row r="77" spans="28:62">
      <c r="AU77" s="199">
        <v>0.48447478528958382</v>
      </c>
      <c r="AV77" s="199">
        <v>0.13895617705351243</v>
      </c>
      <c r="AW77" s="199">
        <v>0.3765690376569038</v>
      </c>
      <c r="AX77" s="199">
        <v>136.08000000000001</v>
      </c>
      <c r="AY77" s="125">
        <v>0.34233921511046433</v>
      </c>
      <c r="AZ77" s="217">
        <f t="shared" si="7"/>
        <v>0.65766078488953572</v>
      </c>
      <c r="BA77" s="215">
        <v>0.5978902457411267</v>
      </c>
      <c r="BB77" s="215">
        <v>0.3145504720942503</v>
      </c>
      <c r="BC77" s="125">
        <f>BA77*AZ77</f>
        <v>0.39320896829190677</v>
      </c>
    </row>
    <row r="78" spans="28:62">
      <c r="AU78" s="201">
        <v>0.5818965517241379</v>
      </c>
      <c r="AV78" s="201">
        <v>0</v>
      </c>
      <c r="AW78" s="201">
        <v>0.41810344827586204</v>
      </c>
      <c r="AX78" s="201">
        <v>136.66666666666666</v>
      </c>
      <c r="AY78" s="218">
        <v>0.36700757734423034</v>
      </c>
      <c r="AZ78" s="219">
        <f t="shared" si="7"/>
        <v>0.63299242265576972</v>
      </c>
      <c r="BA78" s="216">
        <v>0.74515480021471081</v>
      </c>
      <c r="BB78" s="216">
        <v>0.33865453823070957</v>
      </c>
      <c r="BC78" s="218">
        <v>0.4741758754322335</v>
      </c>
    </row>
    <row r="79" spans="28:62" ht="15" thickBot="1"/>
    <row r="80" spans="28:62" ht="15" thickBot="1">
      <c r="AB80" s="127" t="e">
        <f>#REF!</f>
        <v>#REF!</v>
      </c>
      <c r="AD80" s="78" t="s">
        <v>102</v>
      </c>
      <c r="AE80" s="11" t="s">
        <v>51</v>
      </c>
      <c r="AH80" s="7" t="s">
        <v>99</v>
      </c>
      <c r="AI80" s="27" t="s">
        <v>103</v>
      </c>
      <c r="AJ80" s="27" t="s">
        <v>30</v>
      </c>
      <c r="AL80" s="208">
        <v>0.5818965517241379</v>
      </c>
      <c r="AM80" s="208">
        <v>0</v>
      </c>
      <c r="AN80" s="208">
        <v>0.41810344827586204</v>
      </c>
      <c r="AP80" s="208">
        <v>136.66666666666666</v>
      </c>
      <c r="AR80" s="126">
        <v>0.36700757734423034</v>
      </c>
    </row>
    <row r="81" spans="7:36">
      <c r="J81" s="78" t="s">
        <v>102</v>
      </c>
      <c r="K81" s="11" t="s">
        <v>51</v>
      </c>
      <c r="M81" s="7" t="s">
        <v>99</v>
      </c>
      <c r="N81" s="27" t="s">
        <v>103</v>
      </c>
      <c r="O81" s="27" t="s">
        <v>30</v>
      </c>
      <c r="Q81" s="193">
        <v>0.45372050816696918</v>
      </c>
      <c r="R81" s="193">
        <v>0.19918330308529944</v>
      </c>
      <c r="S81" s="193">
        <v>0.3470961887477314</v>
      </c>
      <c r="U81" s="193">
        <v>131.49333333333334</v>
      </c>
      <c r="AD81" s="11" t="s">
        <v>105</v>
      </c>
      <c r="AE81" s="128">
        <v>0.74515480021471081</v>
      </c>
      <c r="AH81" s="11">
        <v>2</v>
      </c>
      <c r="AI81" s="99">
        <v>470</v>
      </c>
      <c r="AJ81" s="123">
        <v>0</v>
      </c>
    </row>
    <row r="82" spans="7:36">
      <c r="G82" s="126">
        <v>0.32189526844113597</v>
      </c>
      <c r="H82" s="127"/>
      <c r="J82" s="11" t="s">
        <v>105</v>
      </c>
      <c r="K82" s="128">
        <v>0.54342120395432714</v>
      </c>
      <c r="M82" s="11"/>
      <c r="N82" s="99">
        <v>470</v>
      </c>
      <c r="O82" s="123">
        <v>0</v>
      </c>
      <c r="AD82" s="11" t="s">
        <v>106</v>
      </c>
      <c r="AE82" s="128">
        <v>0.33865453823070957</v>
      </c>
    </row>
    <row r="83" spans="7:36">
      <c r="J83" s="11" t="s">
        <v>106</v>
      </c>
      <c r="K83" s="128">
        <v>0.29428456752433269</v>
      </c>
    </row>
    <row r="108" spans="7:44">
      <c r="G108" s="126">
        <v>0.34482637033034785</v>
      </c>
      <c r="H108" s="127"/>
      <c r="J108" s="78" t="s">
        <v>102</v>
      </c>
      <c r="K108" s="11" t="s">
        <v>51</v>
      </c>
      <c r="M108" s="7" t="s">
        <v>99</v>
      </c>
      <c r="N108" s="27" t="s">
        <v>103</v>
      </c>
      <c r="O108" s="27" t="s">
        <v>30</v>
      </c>
      <c r="Q108" s="199">
        <v>0.45392646391284608</v>
      </c>
      <c r="R108" s="199">
        <v>0.1693145710394916</v>
      </c>
      <c r="S108" s="199">
        <v>0.37675896504766226</v>
      </c>
      <c r="U108" s="199">
        <v>131.09333333333333</v>
      </c>
      <c r="AB108" s="127" t="e">
        <f>#REF!</f>
        <v>#REF!</v>
      </c>
      <c r="AD108" s="78" t="s">
        <v>102</v>
      </c>
      <c r="AE108" s="11" t="s">
        <v>51</v>
      </c>
      <c r="AH108" s="7" t="s">
        <v>99</v>
      </c>
      <c r="AI108" s="27" t="s">
        <v>103</v>
      </c>
      <c r="AJ108" s="27" t="s">
        <v>30</v>
      </c>
      <c r="AL108" s="211">
        <v>0.56657223796033995</v>
      </c>
      <c r="AM108" s="211">
        <v>0</v>
      </c>
      <c r="AN108" s="211">
        <v>0.43342776203966005</v>
      </c>
      <c r="AP108" s="211">
        <v>135.22666666666669</v>
      </c>
      <c r="AR108" s="126">
        <v>0.38003625275209435</v>
      </c>
    </row>
    <row r="109" spans="7:44">
      <c r="J109" s="11" t="s">
        <v>105</v>
      </c>
      <c r="K109" s="128">
        <v>0.56253188891860884</v>
      </c>
      <c r="M109" s="11">
        <v>2</v>
      </c>
      <c r="N109" s="99">
        <v>470</v>
      </c>
      <c r="O109" s="123">
        <v>0</v>
      </c>
      <c r="AD109" s="11" t="s">
        <v>105</v>
      </c>
      <c r="AE109" s="128">
        <v>0.74077833774877022</v>
      </c>
      <c r="AH109" s="11">
        <v>2</v>
      </c>
      <c r="AI109" s="99">
        <v>470</v>
      </c>
      <c r="AJ109" s="123">
        <v>0</v>
      </c>
    </row>
    <row r="110" spans="7:44">
      <c r="J110" s="11" t="s">
        <v>106</v>
      </c>
      <c r="K110" s="128">
        <v>0.31721412851042335</v>
      </c>
      <c r="AD110" s="11" t="s">
        <v>106</v>
      </c>
      <c r="AE110" s="128">
        <v>0.35177161802683821</v>
      </c>
    </row>
    <row r="132" spans="7:49">
      <c r="AU132" s="214"/>
      <c r="AV132" s="214"/>
      <c r="AW132" s="214"/>
    </row>
    <row r="133" spans="7:49">
      <c r="AU133" s="214"/>
      <c r="AV133" s="214"/>
      <c r="AW133" s="214"/>
    </row>
    <row r="134" spans="7:49">
      <c r="G134" s="126">
        <v>0.34720003867538729</v>
      </c>
    </row>
    <row r="135" spans="7:49">
      <c r="H135" s="127"/>
      <c r="J135" s="78" t="s">
        <v>102</v>
      </c>
      <c r="K135" s="11" t="s">
        <v>51</v>
      </c>
      <c r="M135" s="7" t="s">
        <v>99</v>
      </c>
      <c r="N135" s="27" t="s">
        <v>103</v>
      </c>
      <c r="O135" s="27" t="s">
        <v>30</v>
      </c>
      <c r="Q135" s="190">
        <v>0.42390843577787196</v>
      </c>
      <c r="R135" s="190">
        <v>0.19923696481559983</v>
      </c>
      <c r="S135" s="190">
        <v>0.37685459940652821</v>
      </c>
      <c r="U135" s="190">
        <v>130.16</v>
      </c>
      <c r="AB135" s="127" t="e">
        <f>#REF!</f>
        <v>#REF!</v>
      </c>
      <c r="AD135" s="78" t="s">
        <v>102</v>
      </c>
      <c r="AE135" s="11" t="s">
        <v>51</v>
      </c>
      <c r="AH135" s="7" t="s">
        <v>99</v>
      </c>
      <c r="AI135" s="27" t="s">
        <v>103</v>
      </c>
      <c r="AJ135" s="27" t="s">
        <v>30</v>
      </c>
      <c r="AL135" s="201">
        <v>0.5524861878453039</v>
      </c>
      <c r="AM135" s="201">
        <v>0</v>
      </c>
      <c r="AN135" s="201">
        <v>0.44751381215469616</v>
      </c>
      <c r="AP135" s="201">
        <v>135.76000000000002</v>
      </c>
      <c r="AR135" s="126">
        <v>0.39201216204690681</v>
      </c>
      <c r="AU135" s="214"/>
      <c r="AV135" s="214"/>
      <c r="AW135" s="214"/>
    </row>
    <row r="136" spans="7:49">
      <c r="J136" s="11" t="s">
        <v>105</v>
      </c>
      <c r="K136" s="128">
        <v>0.52746843688890843</v>
      </c>
      <c r="M136" s="11"/>
      <c r="N136" s="99">
        <v>470</v>
      </c>
      <c r="O136" s="123">
        <v>0</v>
      </c>
      <c r="AD136" s="11" t="s">
        <v>105</v>
      </c>
      <c r="AE136" s="128">
        <v>0.73659006348867362</v>
      </c>
      <c r="AH136" s="11">
        <v>2</v>
      </c>
      <c r="AI136" s="99">
        <v>470</v>
      </c>
      <c r="AJ136" s="123">
        <v>0</v>
      </c>
      <c r="AU136" s="214"/>
      <c r="AV136" s="214"/>
      <c r="AW136" s="214"/>
    </row>
    <row r="137" spans="7:49">
      <c r="J137" s="11" t="s">
        <v>106</v>
      </c>
      <c r="K137" s="128">
        <v>0.31976115336472843</v>
      </c>
      <c r="AD137" s="11" t="s">
        <v>106</v>
      </c>
      <c r="AE137" s="128">
        <v>0.36382878719076445</v>
      </c>
    </row>
    <row r="160" spans="6:6">
      <c r="F160" s="126">
        <v>0.36902466379497156</v>
      </c>
    </row>
    <row r="162" spans="8:21">
      <c r="H162" s="127"/>
      <c r="J162" s="78" t="s">
        <v>102</v>
      </c>
      <c r="K162" s="11" t="s">
        <v>51</v>
      </c>
      <c r="M162" s="7" t="s">
        <v>99</v>
      </c>
      <c r="N162" s="27" t="s">
        <v>103</v>
      </c>
      <c r="O162" s="27" t="s">
        <v>30</v>
      </c>
      <c r="Q162" s="190">
        <v>0.4533091568449682</v>
      </c>
      <c r="R162" s="190">
        <v>0.13871260199456029</v>
      </c>
      <c r="S162" s="190">
        <v>0.40797824116047138</v>
      </c>
      <c r="U162" s="190">
        <v>132.48000000000002</v>
      </c>
    </row>
    <row r="163" spans="8:21">
      <c r="J163" s="11" t="s">
        <v>105</v>
      </c>
      <c r="K163" s="128">
        <v>0.58313792558127309</v>
      </c>
      <c r="M163" s="11">
        <v>2</v>
      </c>
      <c r="N163" s="99">
        <v>470</v>
      </c>
      <c r="O163" s="123">
        <v>0</v>
      </c>
    </row>
    <row r="164" spans="8:21">
      <c r="J164" s="11" t="s">
        <v>106</v>
      </c>
      <c r="K164" s="128">
        <v>0.34141559127621851</v>
      </c>
    </row>
    <row r="188" spans="5:21">
      <c r="E188" s="72"/>
      <c r="G188" s="72"/>
    </row>
    <row r="189" spans="5:21">
      <c r="E189" s="72"/>
      <c r="F189" s="127"/>
      <c r="H189" s="127"/>
      <c r="J189" s="78" t="s">
        <v>102</v>
      </c>
      <c r="K189" s="11" t="s">
        <v>51</v>
      </c>
      <c r="M189" s="7" t="s">
        <v>99</v>
      </c>
      <c r="N189" s="27" t="s">
        <v>103</v>
      </c>
      <c r="O189" s="27" t="s">
        <v>30</v>
      </c>
      <c r="Q189" s="190">
        <v>0.42390843577787196</v>
      </c>
      <c r="R189" s="190">
        <v>0.16913946587537093</v>
      </c>
      <c r="S189" s="190">
        <v>0.40695209834675711</v>
      </c>
      <c r="U189" s="190">
        <v>135.62666666666669</v>
      </c>
    </row>
    <row r="190" spans="5:21">
      <c r="F190" s="127"/>
      <c r="J190" s="11" t="s">
        <v>105</v>
      </c>
      <c r="K190" s="128">
        <v>0.54680540434311609</v>
      </c>
      <c r="M190" s="11">
        <v>2</v>
      </c>
      <c r="N190" s="99">
        <v>470</v>
      </c>
      <c r="O190" s="123">
        <v>0</v>
      </c>
    </row>
    <row r="191" spans="5:21">
      <c r="F191" s="127"/>
      <c r="J191" s="11" t="s">
        <v>106</v>
      </c>
      <c r="K191" s="128">
        <v>0.34304397478921717</v>
      </c>
    </row>
    <row r="213" spans="4:21">
      <c r="D213" s="72"/>
    </row>
    <row r="214" spans="4:21">
      <c r="D214" s="72"/>
    </row>
    <row r="216" spans="4:21">
      <c r="G216" s="72"/>
      <c r="H216" s="127"/>
      <c r="J216" s="78" t="s">
        <v>102</v>
      </c>
      <c r="K216" s="11" t="s">
        <v>51</v>
      </c>
      <c r="M216" s="7" t="s">
        <v>99</v>
      </c>
      <c r="N216" s="27" t="s">
        <v>103</v>
      </c>
      <c r="O216" s="27" t="s">
        <v>30</v>
      </c>
      <c r="Q216" s="190">
        <v>0.42337002540220159</v>
      </c>
      <c r="R216" s="190">
        <v>0.1384419983065199</v>
      </c>
      <c r="S216" s="190">
        <v>0.43818797629127859</v>
      </c>
      <c r="U216" s="190">
        <v>134.69333333333336</v>
      </c>
    </row>
    <row r="217" spans="4:21">
      <c r="J217" s="11" t="s">
        <v>105</v>
      </c>
      <c r="K217" s="128">
        <v>0.5677676230218065</v>
      </c>
      <c r="M217" s="11">
        <v>2</v>
      </c>
      <c r="N217" s="99">
        <v>470</v>
      </c>
      <c r="O217" s="123">
        <v>0</v>
      </c>
    </row>
    <row r="218" spans="4:21">
      <c r="J218" s="11" t="s">
        <v>106</v>
      </c>
      <c r="K218" s="128">
        <v>0.36725178047191565</v>
      </c>
    </row>
    <row r="237" spans="27:29">
      <c r="AA237" s="214"/>
      <c r="AB237" s="214"/>
      <c r="AC237" s="214"/>
    </row>
    <row r="238" spans="27:29">
      <c r="AA238" s="214"/>
      <c r="AB238" s="214"/>
      <c r="AC238" s="214"/>
    </row>
    <row r="239" spans="27:29">
      <c r="AA239" s="214"/>
      <c r="AB239" s="214"/>
      <c r="AC239" s="214"/>
    </row>
    <row r="240" spans="27:29">
      <c r="AA240" s="214"/>
      <c r="AB240" s="214"/>
      <c r="AC240" s="214"/>
    </row>
    <row r="241" spans="7:30">
      <c r="AA241" s="214"/>
      <c r="AB241" s="214"/>
      <c r="AC241" s="214"/>
    </row>
    <row r="242" spans="7:30" ht="15" thickBot="1">
      <c r="G242" s="126">
        <v>0.34233921511046433</v>
      </c>
      <c r="AA242" s="214"/>
      <c r="AB242" s="214"/>
      <c r="AC242" s="214"/>
    </row>
    <row r="243" spans="7:30" ht="15" thickBot="1">
      <c r="H243" s="127"/>
      <c r="J243" s="78" t="s">
        <v>102</v>
      </c>
      <c r="K243" s="11" t="s">
        <v>51</v>
      </c>
      <c r="M243" s="7" t="s">
        <v>99</v>
      </c>
      <c r="N243" s="27" t="s">
        <v>103</v>
      </c>
      <c r="O243" s="27" t="s">
        <v>30</v>
      </c>
      <c r="Q243" s="196">
        <v>0.48447478528958382</v>
      </c>
      <c r="R243" s="196">
        <v>0.13895617705351243</v>
      </c>
      <c r="S243" s="196">
        <v>0.3765690376569038</v>
      </c>
      <c r="U243" s="196">
        <v>136.08000000000001</v>
      </c>
      <c r="AA243" s="214"/>
      <c r="AB243" s="214"/>
      <c r="AC243" s="214"/>
      <c r="AD243" s="214"/>
    </row>
    <row r="244" spans="7:30">
      <c r="J244" s="11" t="s">
        <v>105</v>
      </c>
      <c r="K244" s="128">
        <v>0.5978902457411267</v>
      </c>
      <c r="M244" s="11">
        <v>2</v>
      </c>
      <c r="N244" s="99">
        <v>470</v>
      </c>
      <c r="O244" s="123">
        <v>0</v>
      </c>
      <c r="AA244" s="214"/>
      <c r="AB244" s="214"/>
      <c r="AC244" s="214"/>
    </row>
    <row r="245" spans="7:30">
      <c r="J245" s="11" t="s">
        <v>106</v>
      </c>
      <c r="K245" s="128">
        <v>0.3145504720942503</v>
      </c>
      <c r="AA245" s="214"/>
      <c r="AB245" s="214"/>
      <c r="AC245" s="214"/>
    </row>
    <row r="246" spans="7:30">
      <c r="AA246" s="214"/>
      <c r="AB246" s="214"/>
      <c r="AC246" s="214"/>
    </row>
  </sheetData>
  <sortState xmlns:xlrd2="http://schemas.microsoft.com/office/spreadsheetml/2017/richdata2" ref="AT65:BC78">
    <sortCondition ref="AX65:AX7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P60"/>
  <sheetViews>
    <sheetView workbookViewId="0">
      <selection activeCell="BN42" sqref="BN42"/>
    </sheetView>
  </sheetViews>
  <sheetFormatPr defaultColWidth="8.54296875" defaultRowHeight="14.5"/>
  <cols>
    <col min="2" max="2" width="10.453125" customWidth="1"/>
    <col min="10" max="10" width="9.453125" bestFit="1" customWidth="1"/>
    <col min="12" max="12" width="11.453125" customWidth="1"/>
    <col min="14" max="14" width="11.453125" customWidth="1"/>
  </cols>
  <sheetData>
    <row r="2" spans="2:68" ht="15" thickBot="1"/>
    <row r="3" spans="2:68" ht="15.5">
      <c r="C3" s="239"/>
      <c r="D3" s="239" t="s">
        <v>140</v>
      </c>
      <c r="E3" s="239"/>
      <c r="AD3" s="321"/>
      <c r="AE3" s="322"/>
      <c r="AF3" s="322"/>
      <c r="AG3" s="322"/>
      <c r="AH3" s="322"/>
      <c r="AI3" s="322"/>
      <c r="AJ3" s="322"/>
      <c r="AK3" s="322"/>
      <c r="AL3" s="322"/>
      <c r="AM3" s="322"/>
      <c r="AN3" s="322"/>
      <c r="AO3" s="322"/>
      <c r="AP3" s="322"/>
      <c r="AQ3" s="322"/>
      <c r="AR3" s="322"/>
      <c r="AS3" s="322"/>
      <c r="AT3" s="322"/>
      <c r="AU3" s="322"/>
      <c r="AV3" s="322"/>
      <c r="AW3" s="331"/>
      <c r="AX3" s="322"/>
      <c r="AY3" s="322"/>
      <c r="AZ3" s="322"/>
      <c r="BA3" s="322"/>
      <c r="BB3" s="322"/>
      <c r="BC3" s="322"/>
      <c r="BD3" s="322"/>
      <c r="BE3" s="322"/>
      <c r="BF3" s="322"/>
      <c r="BG3" s="322"/>
      <c r="BH3" s="322"/>
      <c r="BI3" s="322"/>
      <c r="BJ3" s="322"/>
      <c r="BK3" s="322"/>
      <c r="BL3" s="322"/>
      <c r="BM3" s="322"/>
      <c r="BN3" s="322"/>
      <c r="BO3" s="322"/>
      <c r="BP3" s="323"/>
    </row>
    <row r="4" spans="2:68" ht="21">
      <c r="D4" t="s">
        <v>141</v>
      </c>
      <c r="AD4" s="324"/>
      <c r="AF4" s="315" t="s">
        <v>142</v>
      </c>
      <c r="AG4" s="315"/>
      <c r="AH4" s="316"/>
      <c r="AI4" s="316"/>
      <c r="AJ4" s="316"/>
      <c r="AK4" s="316"/>
      <c r="AL4" s="316"/>
      <c r="AN4" s="317" t="s">
        <v>143</v>
      </c>
      <c r="AO4" s="317"/>
      <c r="AP4" s="318"/>
      <c r="AW4" s="332"/>
      <c r="BC4" s="317" t="s">
        <v>144</v>
      </c>
      <c r="BD4" s="317"/>
      <c r="BE4" s="318"/>
      <c r="BP4" s="325"/>
    </row>
    <row r="5" spans="2:68" ht="19.5" customHeight="1">
      <c r="D5" t="s">
        <v>145</v>
      </c>
      <c r="AD5" s="324"/>
      <c r="AJ5" s="319" t="s">
        <v>146</v>
      </c>
      <c r="AW5" s="332"/>
      <c r="BP5" s="325"/>
    </row>
    <row r="6" spans="2:68">
      <c r="D6" t="s">
        <v>147</v>
      </c>
      <c r="AD6" s="324"/>
      <c r="AG6" s="320" t="s">
        <v>148</v>
      </c>
      <c r="AN6" s="6" t="s">
        <v>149</v>
      </c>
      <c r="AO6" s="24"/>
      <c r="AP6" s="24"/>
      <c r="AQ6" s="15"/>
      <c r="AW6" s="332"/>
      <c r="BP6" s="325"/>
    </row>
    <row r="7" spans="2:68">
      <c r="D7" t="s">
        <v>150</v>
      </c>
      <c r="AD7" s="324"/>
      <c r="AG7" t="s">
        <v>151</v>
      </c>
      <c r="AH7" t="s">
        <v>152</v>
      </c>
      <c r="AK7" t="s">
        <v>153</v>
      </c>
      <c r="AN7" s="48" t="s">
        <v>154</v>
      </c>
      <c r="AP7" s="119"/>
      <c r="AQ7" t="s">
        <v>155</v>
      </c>
      <c r="AW7" s="332"/>
      <c r="BP7" s="325"/>
    </row>
    <row r="8" spans="2:68">
      <c r="D8" t="s">
        <v>156</v>
      </c>
      <c r="AD8" s="326"/>
      <c r="AG8" s="320" t="s">
        <v>157</v>
      </c>
      <c r="AN8" s="85" t="s">
        <v>158</v>
      </c>
      <c r="AO8" s="118"/>
      <c r="AP8" s="120"/>
      <c r="AQ8" t="s">
        <v>159</v>
      </c>
      <c r="AW8" s="332"/>
      <c r="BP8" s="325"/>
    </row>
    <row r="9" spans="2:68">
      <c r="D9" t="s">
        <v>160</v>
      </c>
      <c r="AD9" s="324"/>
      <c r="AW9" s="332"/>
      <c r="BP9" s="325"/>
    </row>
    <row r="10" spans="2:68">
      <c r="D10" t="s">
        <v>161</v>
      </c>
      <c r="AD10" s="324"/>
      <c r="AW10" s="332"/>
      <c r="BP10" s="325"/>
    </row>
    <row r="11" spans="2:68">
      <c r="D11" t="s">
        <v>162</v>
      </c>
      <c r="AD11" s="324"/>
      <c r="AE11" s="11" t="s">
        <v>70</v>
      </c>
      <c r="AF11" s="11" t="s">
        <v>163</v>
      </c>
      <c r="AG11" s="314" t="s">
        <v>136</v>
      </c>
      <c r="AH11" s="314" t="s">
        <v>164</v>
      </c>
      <c r="AI11" s="11" t="s">
        <v>165</v>
      </c>
      <c r="AJ11" s="314" t="s">
        <v>166</v>
      </c>
      <c r="AK11" s="29"/>
      <c r="AL11" s="313" t="s">
        <v>167</v>
      </c>
      <c r="AM11" s="11" t="s">
        <v>168</v>
      </c>
      <c r="AN11" s="11" t="s">
        <v>169</v>
      </c>
      <c r="AO11" s="11" t="s">
        <v>170</v>
      </c>
      <c r="AP11" s="29"/>
      <c r="AQ11" s="306"/>
      <c r="AR11" s="29"/>
      <c r="AW11" s="332"/>
      <c r="AY11" s="11" t="s">
        <v>70</v>
      </c>
      <c r="AZ11" s="11" t="s">
        <v>163</v>
      </c>
      <c r="BA11" s="314" t="s">
        <v>136</v>
      </c>
      <c r="BB11" s="314" t="s">
        <v>164</v>
      </c>
      <c r="BC11" s="11" t="s">
        <v>165</v>
      </c>
      <c r="BD11" s="314" t="s">
        <v>166</v>
      </c>
      <c r="BE11" s="29"/>
      <c r="BF11" s="313" t="s">
        <v>167</v>
      </c>
      <c r="BG11" s="11" t="s">
        <v>168</v>
      </c>
      <c r="BH11" s="11" t="s">
        <v>169</v>
      </c>
      <c r="BI11" s="11" t="s">
        <v>170</v>
      </c>
      <c r="BJ11" s="29"/>
      <c r="BK11" s="306"/>
      <c r="BL11" s="29"/>
      <c r="BP11" s="325"/>
    </row>
    <row r="12" spans="2:68">
      <c r="D12" t="s">
        <v>171</v>
      </c>
      <c r="AD12" s="324"/>
      <c r="AE12">
        <f>(1-AO12)^1.3</f>
        <v>0.68876865498860407</v>
      </c>
      <c r="AF12">
        <f>0.7*(1-AN12)+0.3*(1-AN12)^12</f>
        <v>0.67413528672471656</v>
      </c>
      <c r="AG12" s="261" t="s">
        <v>172</v>
      </c>
      <c r="AH12" s="11">
        <v>38.1</v>
      </c>
      <c r="AI12" s="11">
        <v>1</v>
      </c>
      <c r="AJ12" s="11">
        <v>0.6</v>
      </c>
      <c r="AK12" s="29"/>
      <c r="AL12" s="77">
        <v>0.4</v>
      </c>
      <c r="AM12" s="11">
        <v>1</v>
      </c>
      <c r="AN12" s="11">
        <f>AH14/AH13</f>
        <v>0.12421052631578947</v>
      </c>
      <c r="AO12" s="11">
        <f>AH13/AH12</f>
        <v>0.24934383202099736</v>
      </c>
      <c r="AP12" s="29"/>
      <c r="AQ12" s="73"/>
      <c r="AR12" s="29"/>
      <c r="AW12" s="332"/>
      <c r="AY12">
        <f>(1-BI12)^1.3</f>
        <v>0.95992594871812065</v>
      </c>
      <c r="AZ12">
        <f>0.7*(1-BH12)+0.3*(1-BH12)^12</f>
        <v>0.8839859037248059</v>
      </c>
      <c r="BA12" s="261" t="s">
        <v>172</v>
      </c>
      <c r="BB12" s="11">
        <v>38.1</v>
      </c>
      <c r="BC12" s="11">
        <v>1</v>
      </c>
      <c r="BD12" s="11">
        <v>0.6</v>
      </c>
      <c r="BE12" s="29"/>
      <c r="BF12" s="77">
        <v>0.4</v>
      </c>
      <c r="BG12" s="11">
        <v>1</v>
      </c>
      <c r="BH12" s="11">
        <f>BB13/BB12</f>
        <v>3.0971128608923881E-2</v>
      </c>
      <c r="BI12" s="11">
        <f>BB13/BB12</f>
        <v>3.0971128608923881E-2</v>
      </c>
      <c r="BJ12" s="29"/>
      <c r="BK12" s="73"/>
      <c r="BL12" s="29"/>
      <c r="BP12" s="325"/>
    </row>
    <row r="13" spans="2:68">
      <c r="D13" t="s">
        <v>173</v>
      </c>
      <c r="AD13" s="324"/>
      <c r="AG13" s="150" t="s">
        <v>0</v>
      </c>
      <c r="AH13" s="11">
        <v>9.5</v>
      </c>
      <c r="AI13" s="11">
        <v>2</v>
      </c>
      <c r="AJ13" s="33">
        <v>0.62</v>
      </c>
      <c r="AK13" s="29"/>
      <c r="AL13" s="77">
        <v>0.15</v>
      </c>
      <c r="AM13" s="11">
        <v>2</v>
      </c>
      <c r="AN13" s="29"/>
      <c r="AO13" s="29"/>
      <c r="AP13" s="29"/>
      <c r="AQ13" s="73"/>
      <c r="AR13" s="29"/>
      <c r="AW13" s="332"/>
      <c r="BA13" s="11" t="s">
        <v>95</v>
      </c>
      <c r="BB13" s="11">
        <v>1.18</v>
      </c>
      <c r="BC13" s="11">
        <v>2</v>
      </c>
      <c r="BD13" s="11">
        <v>0.62</v>
      </c>
      <c r="BE13" s="29"/>
      <c r="BF13" s="77">
        <v>0.6</v>
      </c>
      <c r="BG13" s="11">
        <v>2</v>
      </c>
      <c r="BH13" s="29"/>
      <c r="BI13" s="29"/>
      <c r="BJ13" s="29"/>
      <c r="BK13" s="73"/>
      <c r="BL13" s="29"/>
      <c r="BP13" s="325"/>
    </row>
    <row r="14" spans="2:68" ht="15" thickBot="1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AD14" s="324"/>
      <c r="AG14" s="150" t="s">
        <v>174</v>
      </c>
      <c r="AH14" s="11">
        <v>1.18</v>
      </c>
      <c r="AI14" s="11">
        <v>3</v>
      </c>
      <c r="AJ14" s="11">
        <v>0.65</v>
      </c>
      <c r="AK14" s="29"/>
      <c r="AL14" s="77">
        <v>0.45</v>
      </c>
      <c r="AM14" s="11">
        <v>3</v>
      </c>
      <c r="AN14" s="29"/>
      <c r="AO14" s="29"/>
      <c r="AP14" s="29"/>
      <c r="AQ14" s="73"/>
      <c r="AR14" s="29"/>
      <c r="AW14" s="332"/>
      <c r="BA14" s="29"/>
      <c r="BB14" s="29"/>
      <c r="BC14" s="29"/>
      <c r="BD14" s="29"/>
      <c r="BE14" s="29"/>
      <c r="BF14" s="73"/>
      <c r="BG14" s="29"/>
      <c r="BH14" s="29"/>
      <c r="BI14" s="29"/>
      <c r="BJ14" s="29"/>
      <c r="BK14" s="73"/>
      <c r="BL14" s="29"/>
      <c r="BP14" s="325"/>
    </row>
    <row r="15" spans="2:68" ht="15" thickBot="1">
      <c r="B15" s="241"/>
      <c r="C15" s="10"/>
      <c r="D15" s="242" t="s">
        <v>175</v>
      </c>
      <c r="E15" s="243"/>
      <c r="F15" s="243"/>
      <c r="G15" s="244"/>
      <c r="H15" s="10"/>
      <c r="I15" s="10"/>
      <c r="J15" s="10"/>
      <c r="K15" s="10"/>
      <c r="L15" s="10"/>
      <c r="M15" s="10"/>
      <c r="N15" s="10"/>
      <c r="O15" s="10"/>
      <c r="AD15" s="324"/>
      <c r="AG15" s="29"/>
      <c r="AH15" s="29"/>
      <c r="AI15" s="29"/>
      <c r="AJ15" s="29"/>
      <c r="AK15" s="29"/>
      <c r="AL15" s="117">
        <f>SUM(AL12:AL14)</f>
        <v>1</v>
      </c>
      <c r="AM15" s="29"/>
      <c r="AN15" s="29"/>
      <c r="AO15" s="29"/>
      <c r="AP15" s="29"/>
      <c r="AQ15" s="29"/>
      <c r="AR15" s="29"/>
      <c r="AW15" s="332"/>
      <c r="BA15" s="29"/>
      <c r="BB15" s="29"/>
      <c r="BC15" s="29"/>
      <c r="BD15" s="29"/>
      <c r="BE15" s="29"/>
      <c r="BF15" s="117">
        <f>SUM(BF12:BF14)</f>
        <v>1</v>
      </c>
      <c r="BG15" s="29"/>
      <c r="BH15" s="29"/>
      <c r="BI15" s="29"/>
      <c r="BJ15" s="29"/>
      <c r="BK15" s="29"/>
      <c r="BL15" s="29"/>
      <c r="BP15" s="325"/>
    </row>
    <row r="16" spans="2:68" ht="15" thickBot="1"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AD16" s="324"/>
      <c r="AG16" s="29"/>
      <c r="AH16" s="29"/>
      <c r="AI16" s="307">
        <f>AJ12/(1-(1-AJ12+AE12*AJ12*(1-1/AJ13))*AL13-(1-AF12*AJ12/AJ13)*AL13)</f>
        <v>0.64805193936620697</v>
      </c>
      <c r="AJ16" s="29"/>
      <c r="AK16" s="29"/>
      <c r="AL16" s="29" t="s">
        <v>176</v>
      </c>
      <c r="AM16" s="29"/>
      <c r="AN16" s="29"/>
      <c r="AQ16" s="7">
        <f>AJ12/(1-(1-AJ12+AJ12*(1-1/AJ13))*AL13-(1-AJ12/AJ13)*AL13)</f>
        <v>0.60586319218241047</v>
      </c>
      <c r="AR16" s="29"/>
      <c r="AS16" s="29"/>
      <c r="AT16" s="29" t="s">
        <v>177</v>
      </c>
      <c r="AU16" s="29"/>
      <c r="AV16" s="29"/>
      <c r="AW16" s="332"/>
      <c r="BA16" s="29"/>
      <c r="BB16" s="29"/>
      <c r="BC16" s="307">
        <f>BD12/(1-(1-BD12+AY12*BD12*(1-1/BD13))*BF13-(1-AZ12*BD12/BD13)*BF13)</f>
        <v>0.67790087504679886</v>
      </c>
      <c r="BD16" s="29"/>
      <c r="BE16" s="29"/>
      <c r="BF16" s="29" t="s">
        <v>176</v>
      </c>
      <c r="BG16" s="29"/>
      <c r="BH16" s="29"/>
      <c r="BK16" s="7">
        <f>BD12/(1-(1-BD12+BD12*(1-1/BD13))*BF13-(1-BD12/BD13)*BF13)</f>
        <v>0.62416107382550334</v>
      </c>
      <c r="BL16" s="29"/>
      <c r="BM16" s="29"/>
      <c r="BN16" s="29" t="s">
        <v>177</v>
      </c>
      <c r="BO16" s="29"/>
      <c r="BP16" s="327"/>
    </row>
    <row r="17" spans="3:68">
      <c r="C17" s="10"/>
      <c r="D17" s="161" t="s">
        <v>178</v>
      </c>
      <c r="E17" s="161"/>
      <c r="F17" s="10"/>
      <c r="G17" s="10"/>
      <c r="H17" s="10"/>
      <c r="I17" s="10"/>
      <c r="J17" s="10"/>
      <c r="K17" s="10"/>
      <c r="L17" s="10"/>
      <c r="M17" s="10"/>
      <c r="N17" s="10"/>
      <c r="O17" s="10"/>
      <c r="AD17" s="324"/>
      <c r="AW17" s="332"/>
      <c r="BP17" s="325"/>
    </row>
    <row r="18" spans="3:68">
      <c r="C18" s="10"/>
      <c r="D18" s="10"/>
      <c r="E18" s="10"/>
      <c r="F18" s="10"/>
      <c r="G18" s="10"/>
      <c r="H18" s="10"/>
      <c r="I18" s="245"/>
      <c r="J18" s="10"/>
      <c r="K18" s="10"/>
      <c r="L18" s="10"/>
      <c r="M18" s="10"/>
      <c r="N18" s="10"/>
      <c r="O18" s="10"/>
      <c r="AD18" s="324"/>
      <c r="AW18" s="332"/>
      <c r="BP18" s="325"/>
    </row>
    <row r="19" spans="3:68">
      <c r="C19" s="10"/>
      <c r="D19" s="161" t="s">
        <v>179</v>
      </c>
      <c r="E19" s="161"/>
      <c r="F19" s="10"/>
      <c r="G19" s="10"/>
      <c r="H19" s="10"/>
      <c r="I19" s="10" t="s">
        <v>180</v>
      </c>
      <c r="J19" s="10"/>
      <c r="K19" s="10"/>
      <c r="L19" s="10"/>
      <c r="M19" s="10" t="s">
        <v>181</v>
      </c>
      <c r="N19" s="10"/>
      <c r="O19" s="10"/>
      <c r="S19" t="s">
        <v>182</v>
      </c>
      <c r="AD19" s="324"/>
      <c r="AE19" s="11" t="s">
        <v>70</v>
      </c>
      <c r="AF19" s="11" t="s">
        <v>163</v>
      </c>
      <c r="AG19" s="11" t="s">
        <v>136</v>
      </c>
      <c r="AH19" s="11" t="s">
        <v>164</v>
      </c>
      <c r="AI19" s="11" t="s">
        <v>165</v>
      </c>
      <c r="AJ19" s="11" t="s">
        <v>166</v>
      </c>
      <c r="AK19" s="29"/>
      <c r="AL19" s="305" t="s">
        <v>167</v>
      </c>
      <c r="AM19" s="11" t="s">
        <v>168</v>
      </c>
      <c r="AN19" s="261" t="s">
        <v>169</v>
      </c>
      <c r="AO19" s="11" t="s">
        <v>170</v>
      </c>
      <c r="AQ19" s="29"/>
      <c r="AR19" s="29"/>
      <c r="AS19" s="29"/>
      <c r="AT19" s="29"/>
      <c r="AU19" s="29"/>
      <c r="AV19" s="306"/>
      <c r="AW19" s="333"/>
      <c r="AY19" s="11" t="s">
        <v>70</v>
      </c>
      <c r="AZ19" s="11" t="s">
        <v>163</v>
      </c>
      <c r="BA19" s="314" t="s">
        <v>136</v>
      </c>
      <c r="BB19" s="314" t="s">
        <v>164</v>
      </c>
      <c r="BC19" s="11" t="s">
        <v>165</v>
      </c>
      <c r="BD19" s="314" t="s">
        <v>166</v>
      </c>
      <c r="BE19" s="29"/>
      <c r="BF19" s="313" t="s">
        <v>167</v>
      </c>
      <c r="BG19" s="11" t="s">
        <v>168</v>
      </c>
      <c r="BH19" s="11" t="s">
        <v>169</v>
      </c>
      <c r="BI19" s="11" t="s">
        <v>170</v>
      </c>
      <c r="BP19" s="325"/>
    </row>
    <row r="20" spans="3:68">
      <c r="C20" s="10"/>
      <c r="D20" s="10"/>
      <c r="E20" s="10"/>
      <c r="F20" s="10"/>
      <c r="G20" s="161"/>
      <c r="H20" s="10"/>
      <c r="I20" s="10"/>
      <c r="J20" s="161" t="s">
        <v>179</v>
      </c>
      <c r="K20" s="161"/>
      <c r="L20" s="161"/>
      <c r="M20" s="10" t="s">
        <v>183</v>
      </c>
      <c r="N20" s="10"/>
      <c r="O20" s="10"/>
      <c r="S20" t="s">
        <v>184</v>
      </c>
      <c r="AD20" s="324"/>
      <c r="AE20">
        <f>AE12</f>
        <v>0.68876865498860407</v>
      </c>
      <c r="AF20">
        <f>AF12</f>
        <v>0.67413528672471656</v>
      </c>
      <c r="AG20" s="150" t="str">
        <f t="shared" ref="AG20:AJ21" si="0">AG13</f>
        <v>3/8"</v>
      </c>
      <c r="AH20" s="11">
        <f t="shared" si="0"/>
        <v>9.5</v>
      </c>
      <c r="AI20" s="11">
        <f t="shared" si="0"/>
        <v>2</v>
      </c>
      <c r="AJ20" s="33">
        <f t="shared" si="0"/>
        <v>0.62</v>
      </c>
      <c r="AK20" s="29"/>
      <c r="AL20" s="77">
        <f>AL13</f>
        <v>0.15</v>
      </c>
      <c r="AM20" s="11">
        <f>AM13</f>
        <v>2</v>
      </c>
      <c r="AN20" s="11">
        <f>AN12</f>
        <v>0.12421052631578947</v>
      </c>
      <c r="AO20" s="33">
        <f>AO12</f>
        <v>0.24934383202099736</v>
      </c>
      <c r="AQ20" s="29"/>
      <c r="AR20" s="29"/>
      <c r="AS20" s="29"/>
      <c r="AT20" s="29"/>
      <c r="AU20" s="29"/>
      <c r="AV20" s="73"/>
      <c r="AW20" s="333"/>
      <c r="AY20">
        <f>(1-BI20)^1.3</f>
        <v>0.95992594871812065</v>
      </c>
      <c r="AZ20">
        <f>0.7*(1-BH20)+0.3*(1-BH20)^12</f>
        <v>0.8839859037248059</v>
      </c>
      <c r="BA20" s="261" t="str">
        <f>BA13</f>
        <v>SAND</v>
      </c>
      <c r="BB20" s="11">
        <v>38.1</v>
      </c>
      <c r="BC20" s="11">
        <v>1</v>
      </c>
      <c r="BD20" s="11">
        <f>BD13</f>
        <v>0.62</v>
      </c>
      <c r="BE20" s="29"/>
      <c r="BF20" s="77">
        <f>BF13</f>
        <v>0.6</v>
      </c>
      <c r="BG20" s="11">
        <v>1</v>
      </c>
      <c r="BH20" s="11">
        <f>BB21/BB20</f>
        <v>3.0971128608923881E-2</v>
      </c>
      <c r="BI20" s="11">
        <f>BB21/BB20</f>
        <v>3.0971128608923881E-2</v>
      </c>
      <c r="BP20" s="325"/>
    </row>
    <row r="21" spans="3:68">
      <c r="C21" s="10"/>
      <c r="D21" s="10" t="s">
        <v>185</v>
      </c>
      <c r="E21" s="10"/>
      <c r="F21" s="10"/>
      <c r="G21" s="246"/>
      <c r="H21" s="10"/>
      <c r="I21" s="10"/>
      <c r="J21" s="10"/>
      <c r="K21" s="10"/>
      <c r="L21" s="10"/>
      <c r="M21" s="10"/>
      <c r="N21" s="10"/>
      <c r="O21" s="10"/>
      <c r="S21" t="s">
        <v>186</v>
      </c>
      <c r="AD21" s="324"/>
      <c r="AG21" s="150" t="str">
        <f t="shared" si="0"/>
        <v>sand</v>
      </c>
      <c r="AH21" s="11">
        <f t="shared" si="0"/>
        <v>1.18</v>
      </c>
      <c r="AI21" s="11">
        <f t="shared" si="0"/>
        <v>3</v>
      </c>
      <c r="AJ21" s="11">
        <f t="shared" si="0"/>
        <v>0.65</v>
      </c>
      <c r="AK21" s="29"/>
      <c r="AL21" s="77">
        <f>AL14</f>
        <v>0.45</v>
      </c>
      <c r="AM21" s="11">
        <f>AM14</f>
        <v>3</v>
      </c>
      <c r="AN21" s="29"/>
      <c r="AO21" s="29"/>
      <c r="AQ21" s="29"/>
      <c r="AR21" s="29"/>
      <c r="AS21" s="29"/>
      <c r="AT21" s="29"/>
      <c r="AU21" s="29"/>
      <c r="AV21" s="73"/>
      <c r="AW21" s="333"/>
      <c r="BA21" s="11" t="str">
        <f>BA12</f>
        <v>#57</v>
      </c>
      <c r="BB21" s="11">
        <v>1.18</v>
      </c>
      <c r="BC21" s="11">
        <v>2</v>
      </c>
      <c r="BD21" s="11">
        <f>BD12</f>
        <v>0.6</v>
      </c>
      <c r="BE21" s="29"/>
      <c r="BF21" s="77">
        <f>BF12</f>
        <v>0.4</v>
      </c>
      <c r="BG21" s="11">
        <v>2</v>
      </c>
      <c r="BH21" s="29"/>
      <c r="BI21" s="29"/>
      <c r="BP21" s="325"/>
    </row>
    <row r="22" spans="3:68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S22" t="s">
        <v>187</v>
      </c>
      <c r="AD22" s="324"/>
      <c r="AG22" s="261" t="str">
        <f>AG12</f>
        <v>#57</v>
      </c>
      <c r="AH22" s="11">
        <f>AH12</f>
        <v>38.1</v>
      </c>
      <c r="AI22" s="11">
        <f>AI12</f>
        <v>1</v>
      </c>
      <c r="AJ22" s="11">
        <f>AJ12</f>
        <v>0.6</v>
      </c>
      <c r="AK22" s="29"/>
      <c r="AL22" s="77">
        <f>AL12</f>
        <v>0.4</v>
      </c>
      <c r="AM22" s="11">
        <f>AM12</f>
        <v>1</v>
      </c>
      <c r="AN22" s="29"/>
      <c r="AO22" s="29"/>
      <c r="AQ22" s="29"/>
      <c r="AR22" s="29"/>
      <c r="AS22" s="29"/>
      <c r="AT22" s="29"/>
      <c r="AU22" s="29"/>
      <c r="AV22" s="73"/>
      <c r="AW22" s="333"/>
      <c r="BA22" s="29"/>
      <c r="BB22" s="29"/>
      <c r="BC22" s="29"/>
      <c r="BD22" s="29"/>
      <c r="BE22" s="29"/>
      <c r="BF22" s="73"/>
      <c r="BG22" s="29"/>
      <c r="BH22" s="29"/>
      <c r="BI22" s="29"/>
      <c r="BP22" s="325"/>
    </row>
    <row r="23" spans="3:68" ht="16" thickBot="1">
      <c r="C23" s="10"/>
      <c r="D23" s="10"/>
      <c r="E23" s="10"/>
      <c r="F23" s="10"/>
      <c r="G23" s="10"/>
      <c r="H23" s="10"/>
      <c r="I23" s="248" t="s">
        <v>188</v>
      </c>
      <c r="J23" s="248"/>
      <c r="K23" s="10"/>
      <c r="L23" s="10"/>
      <c r="M23" s="10"/>
      <c r="N23" s="10"/>
      <c r="O23" s="10"/>
      <c r="S23" t="s">
        <v>189</v>
      </c>
      <c r="AD23" s="324"/>
      <c r="AG23" s="29"/>
      <c r="AH23" s="29"/>
      <c r="AI23" s="29"/>
      <c r="AJ23" s="29"/>
      <c r="AK23" s="29"/>
      <c r="AL23" s="117">
        <f>SUM(AL20:AL22)</f>
        <v>1</v>
      </c>
      <c r="AM23" s="29"/>
      <c r="AN23" s="29"/>
      <c r="AO23" s="29"/>
      <c r="AW23" s="332"/>
      <c r="BA23" s="29"/>
      <c r="BB23" s="29"/>
      <c r="BC23" s="29"/>
      <c r="BD23" s="29"/>
      <c r="BE23" s="29"/>
      <c r="BF23" s="117">
        <f>SUM(BF20:BF22)</f>
        <v>1</v>
      </c>
      <c r="BG23" s="29"/>
      <c r="BH23" s="29"/>
      <c r="BI23" s="29"/>
      <c r="BP23" s="325"/>
    </row>
    <row r="24" spans="3:68" ht="15" thickBot="1">
      <c r="C24" s="10"/>
      <c r="D24" s="10"/>
      <c r="E24" s="10"/>
      <c r="F24" s="10"/>
      <c r="G24" s="10"/>
      <c r="H24" s="10"/>
      <c r="I24" s="249"/>
      <c r="J24" s="249"/>
      <c r="K24" s="10"/>
      <c r="L24" s="10"/>
      <c r="S24" t="s">
        <v>190</v>
      </c>
      <c r="AD24" s="324"/>
      <c r="AG24" s="29"/>
      <c r="AH24" s="29"/>
      <c r="AI24" s="307">
        <f>AJ20/(1-(1-AJ20+AE20*AJ20*(1-1/AJ21))*AL21-(1-AF20*AJ20/AJ21)*AL21)</f>
        <v>0.80328168809089118</v>
      </c>
      <c r="AJ24" s="29"/>
      <c r="AK24" s="29"/>
      <c r="AL24" s="29"/>
      <c r="AM24" s="29"/>
      <c r="AN24" s="29"/>
      <c r="AO24" s="29"/>
      <c r="AQ24" s="7">
        <f>AJ20/(1-(1-AJ20+AJ20*(1-1/AJ21))*AL21-(1-AJ20/AJ21)*AL21)</f>
        <v>0.64686998394863571</v>
      </c>
      <c r="AR24" s="29"/>
      <c r="AS24" s="29"/>
      <c r="AT24" s="29" t="s">
        <v>177</v>
      </c>
      <c r="AU24" s="29"/>
      <c r="AV24" s="29"/>
      <c r="AW24" s="332"/>
      <c r="BA24" s="29"/>
      <c r="BB24" s="29"/>
      <c r="BC24" s="307">
        <f>BD20/(1-(1-BD20+AY20*BD20*(1-1/BD21))*BF21-(1-AZ20*BD20/BD21)*BF21)</f>
        <v>0.63780194714196947</v>
      </c>
      <c r="BD24" s="29"/>
      <c r="BE24" s="29"/>
      <c r="BF24" s="29" t="s">
        <v>176</v>
      </c>
      <c r="BG24" s="29"/>
      <c r="BH24" s="29"/>
      <c r="BK24" s="7">
        <f>BD20/(1-(1-BD20+BD20*(1-1/BD21))*BF21-(1-BD20/BD21)*BF21)</f>
        <v>0.60389610389610382</v>
      </c>
      <c r="BL24" s="29"/>
      <c r="BM24" s="29"/>
      <c r="BN24" s="29" t="s">
        <v>177</v>
      </c>
      <c r="BO24" s="29"/>
      <c r="BP24" s="327"/>
    </row>
    <row r="25" spans="3:68" ht="15.5">
      <c r="C25" s="10"/>
      <c r="D25" s="10"/>
      <c r="E25" s="10"/>
      <c r="F25" s="10"/>
      <c r="G25" s="10"/>
      <c r="H25" s="10"/>
      <c r="I25" s="248" t="s">
        <v>191</v>
      </c>
      <c r="J25" s="248"/>
      <c r="K25" s="10"/>
      <c r="L25" s="10"/>
      <c r="S25" t="s">
        <v>192</v>
      </c>
      <c r="AD25" s="324"/>
      <c r="AL25" s="122"/>
      <c r="AW25" s="332"/>
      <c r="BP25" s="325"/>
    </row>
    <row r="26" spans="3:68" ht="15" thickBot="1">
      <c r="I26" s="247"/>
      <c r="J26" s="247"/>
      <c r="S26" t="s">
        <v>193</v>
      </c>
      <c r="AD26" s="324"/>
      <c r="AW26" s="332"/>
      <c r="BP26" s="325"/>
    </row>
    <row r="27" spans="3:68" ht="15.5" thickTop="1" thickBot="1">
      <c r="F27" s="29" t="s">
        <v>194</v>
      </c>
      <c r="G27" s="29" t="s">
        <v>195</v>
      </c>
      <c r="L27" t="s">
        <v>196</v>
      </c>
      <c r="M27" s="252" t="s">
        <v>164</v>
      </c>
      <c r="N27" s="7" t="s">
        <v>134</v>
      </c>
      <c r="O27" s="258" t="s">
        <v>197</v>
      </c>
      <c r="S27" t="s">
        <v>198</v>
      </c>
      <c r="T27" s="240"/>
      <c r="AD27" s="324"/>
      <c r="AE27" s="11" t="s">
        <v>70</v>
      </c>
      <c r="AF27" s="11" t="s">
        <v>163</v>
      </c>
      <c r="AG27" s="11" t="s">
        <v>136</v>
      </c>
      <c r="AH27" s="11" t="s">
        <v>164</v>
      </c>
      <c r="AI27" s="11" t="s">
        <v>165</v>
      </c>
      <c r="AJ27" s="11" t="s">
        <v>166</v>
      </c>
      <c r="AK27" s="29"/>
      <c r="AL27" s="305" t="s">
        <v>167</v>
      </c>
      <c r="AM27" s="11" t="s">
        <v>168</v>
      </c>
      <c r="AN27" s="11" t="s">
        <v>169</v>
      </c>
      <c r="AO27" s="11" t="s">
        <v>170</v>
      </c>
      <c r="AQ27" s="29"/>
      <c r="AR27" s="29"/>
      <c r="AS27" s="29"/>
      <c r="AT27" s="29"/>
      <c r="AU27" s="29"/>
      <c r="AV27" s="306"/>
      <c r="AW27" s="333"/>
      <c r="AY27" t="s">
        <v>199</v>
      </c>
      <c r="BC27" s="308">
        <f>MIN(BC24,BC16)</f>
        <v>0.63780194714196947</v>
      </c>
      <c r="BK27" s="309">
        <f>MIN(BK24,BK16)</f>
        <v>0.60389610389610382</v>
      </c>
      <c r="BL27" s="29"/>
      <c r="BM27" s="29"/>
      <c r="BN27" s="29" t="s">
        <v>177</v>
      </c>
      <c r="BO27" s="29"/>
      <c r="BP27" s="327"/>
    </row>
    <row r="28" spans="3:68" ht="15" thickBot="1">
      <c r="F28" s="106">
        <f>L28</f>
        <v>0.45</v>
      </c>
      <c r="G28" s="106">
        <f>L29</f>
        <v>0.15</v>
      </c>
      <c r="H28" s="7"/>
      <c r="L28" s="257">
        <v>0.45</v>
      </c>
      <c r="M28" s="252">
        <v>25</v>
      </c>
      <c r="N28" s="250">
        <v>0.60990162876955345</v>
      </c>
      <c r="O28" s="259" t="s">
        <v>94</v>
      </c>
      <c r="S28" t="s">
        <v>200</v>
      </c>
      <c r="AD28" s="324"/>
      <c r="AE28">
        <f>(1-AO28)^1.3</f>
        <v>0.68876865498860407</v>
      </c>
      <c r="AF28">
        <f>AF20</f>
        <v>0.67413528672471656</v>
      </c>
      <c r="AG28" s="150" t="str">
        <f t="shared" ref="AG28:AJ29" si="1">AG21</f>
        <v>sand</v>
      </c>
      <c r="AH28" s="11">
        <f t="shared" si="1"/>
        <v>1.18</v>
      </c>
      <c r="AI28" s="11">
        <f t="shared" si="1"/>
        <v>3</v>
      </c>
      <c r="AJ28" s="11">
        <f t="shared" si="1"/>
        <v>0.65</v>
      </c>
      <c r="AK28" s="29"/>
      <c r="AL28" s="77">
        <f>AL21</f>
        <v>0.45</v>
      </c>
      <c r="AM28" s="11">
        <f>AM21</f>
        <v>3</v>
      </c>
      <c r="AN28" s="11">
        <f>AN20</f>
        <v>0.12421052631578947</v>
      </c>
      <c r="AO28" s="11">
        <f>AO20</f>
        <v>0.24934383202099736</v>
      </c>
      <c r="AQ28" s="29"/>
      <c r="AR28" s="29"/>
      <c r="AS28" s="29"/>
      <c r="AT28" s="29"/>
      <c r="AU28" s="29"/>
      <c r="AV28" s="73"/>
      <c r="AW28" s="333"/>
      <c r="BP28" s="325"/>
    </row>
    <row r="29" spans="3:68" ht="15" thickBot="1">
      <c r="F29" s="106">
        <f>L29</f>
        <v>0.15</v>
      </c>
      <c r="G29" s="106">
        <f>L30</f>
        <v>0.4</v>
      </c>
      <c r="H29" s="7"/>
      <c r="L29" s="88">
        <v>0.15</v>
      </c>
      <c r="M29" s="29">
        <v>9.5</v>
      </c>
      <c r="N29" s="251">
        <v>0.61619093694565397</v>
      </c>
      <c r="O29" s="260" t="s">
        <v>0</v>
      </c>
      <c r="S29" t="s">
        <v>201</v>
      </c>
      <c r="AD29" s="324"/>
      <c r="AG29" s="261" t="str">
        <f t="shared" si="1"/>
        <v>#57</v>
      </c>
      <c r="AH29" s="11">
        <f t="shared" si="1"/>
        <v>38.1</v>
      </c>
      <c r="AI29" s="11">
        <f t="shared" si="1"/>
        <v>1</v>
      </c>
      <c r="AJ29" s="11">
        <f t="shared" si="1"/>
        <v>0.6</v>
      </c>
      <c r="AK29" s="29"/>
      <c r="AL29" s="77">
        <f>AL22</f>
        <v>0.4</v>
      </c>
      <c r="AM29" s="11">
        <f>AM22</f>
        <v>1</v>
      </c>
      <c r="AN29" s="29"/>
      <c r="AO29" s="29"/>
      <c r="AQ29" s="29"/>
      <c r="AR29" s="29"/>
      <c r="AS29" s="29"/>
      <c r="AT29" s="29"/>
      <c r="AU29" s="29"/>
      <c r="AV29" s="73"/>
      <c r="AW29" s="333"/>
      <c r="BP29" s="325"/>
    </row>
    <row r="30" spans="3:68" ht="15" thickBot="1">
      <c r="F30" s="106">
        <f>L30</f>
        <v>0.4</v>
      </c>
      <c r="G30" s="106">
        <f>L28</f>
        <v>0.45</v>
      </c>
      <c r="H30" s="7"/>
      <c r="L30" s="88">
        <v>0.4</v>
      </c>
      <c r="M30" s="29">
        <v>1.18</v>
      </c>
      <c r="N30" s="251">
        <v>0.67585873246250616</v>
      </c>
      <c r="O30" s="260" t="s">
        <v>95</v>
      </c>
      <c r="S30" t="s">
        <v>202</v>
      </c>
      <c r="AD30" s="324"/>
      <c r="AG30" s="150" t="str">
        <f>AG20</f>
        <v>3/8"</v>
      </c>
      <c r="AH30" s="11">
        <f>AH20</f>
        <v>9.5</v>
      </c>
      <c r="AI30" s="11">
        <f>AI20</f>
        <v>2</v>
      </c>
      <c r="AJ30" s="33">
        <f>AJ20</f>
        <v>0.62</v>
      </c>
      <c r="AK30" s="29"/>
      <c r="AL30" s="77">
        <f>AL20</f>
        <v>0.15</v>
      </c>
      <c r="AM30" s="11">
        <f>AM20</f>
        <v>2</v>
      </c>
      <c r="AN30" s="29"/>
      <c r="AO30" s="29"/>
      <c r="AQ30" s="29"/>
      <c r="AR30" s="29"/>
      <c r="AS30" s="29"/>
      <c r="AT30" s="29"/>
      <c r="AU30" s="29"/>
      <c r="AV30" s="73"/>
      <c r="AW30" s="333"/>
      <c r="BP30" s="325"/>
    </row>
    <row r="31" spans="3:68" ht="15" thickBot="1">
      <c r="F31" s="122">
        <f>SUM(F28:F30)</f>
        <v>1</v>
      </c>
      <c r="G31" s="122">
        <f>SUM(G28:G30)</f>
        <v>1</v>
      </c>
      <c r="L31" s="122">
        <f>SUM(L28:L30)</f>
        <v>1</v>
      </c>
      <c r="O31" s="29"/>
      <c r="S31" t="s">
        <v>203</v>
      </c>
      <c r="AD31" s="324"/>
      <c r="AG31" s="29"/>
      <c r="AH31" s="29"/>
      <c r="AI31" s="29"/>
      <c r="AJ31" s="29"/>
      <c r="AK31" s="29"/>
      <c r="AL31" s="117">
        <f>SUM(AL28:AL30)</f>
        <v>1</v>
      </c>
      <c r="AM31" s="29"/>
      <c r="AN31" s="29"/>
      <c r="AO31" s="29"/>
      <c r="AW31" s="332"/>
      <c r="BP31" s="325"/>
    </row>
    <row r="32" spans="3:68" ht="15" thickBot="1">
      <c r="L32" s="29"/>
      <c r="S32" t="s">
        <v>204</v>
      </c>
      <c r="AD32" s="324"/>
      <c r="AG32" s="29"/>
      <c r="AH32" s="29"/>
      <c r="AI32" s="307">
        <f>AJ28/(1-(1-AJ28+AE28*AJ28*(1-1/AJ29))*AL29-(1-AF28*AJ28/AJ29)*AL29)</f>
        <v>0.7458303569806688</v>
      </c>
      <c r="AJ32" s="29"/>
      <c r="AK32" s="29"/>
      <c r="AL32" s="29"/>
      <c r="AM32" s="29"/>
      <c r="AN32" s="29"/>
      <c r="AO32" s="29"/>
      <c r="AQ32" s="7">
        <f>AJ28/(1-(1-AJ28+AJ28*(1-1/AJ29))*AL29-(1-AJ28/AJ29)*AL29)</f>
        <v>0.60937499999999989</v>
      </c>
      <c r="AR32" s="29"/>
      <c r="AS32" s="29"/>
      <c r="AT32" s="29" t="s">
        <v>177</v>
      </c>
      <c r="AU32" s="29"/>
      <c r="AV32" s="29"/>
      <c r="AW32" s="332"/>
      <c r="AZ32" s="335" t="s">
        <v>205</v>
      </c>
      <c r="BP32" s="325"/>
    </row>
    <row r="33" spans="6:68">
      <c r="F33" s="261" t="s">
        <v>206</v>
      </c>
      <c r="G33" s="11" t="s">
        <v>207</v>
      </c>
      <c r="H33" s="11" t="s">
        <v>208</v>
      </c>
      <c r="I33" s="29" t="s">
        <v>209</v>
      </c>
      <c r="J33" s="29" t="s">
        <v>71</v>
      </c>
      <c r="K33" s="29" t="s">
        <v>210</v>
      </c>
      <c r="L33" s="29"/>
      <c r="S33" t="s">
        <v>211</v>
      </c>
      <c r="X33" t="s">
        <v>212</v>
      </c>
      <c r="Z33" t="s">
        <v>213</v>
      </c>
      <c r="AD33" s="324"/>
      <c r="AW33" s="332"/>
      <c r="BP33" s="325"/>
    </row>
    <row r="34" spans="6:68">
      <c r="F34" s="261">
        <f>F28*G28/(1-F28)</f>
        <v>0.12272727272727273</v>
      </c>
      <c r="G34" s="11">
        <f>G28*F28/(1-G28)</f>
        <v>7.9411764705882362E-2</v>
      </c>
      <c r="H34" s="7">
        <f>F34+G34</f>
        <v>0.20213903743315509</v>
      </c>
      <c r="I34">
        <f>(M28-M29)/(M28+M29)</f>
        <v>0.44927536231884058</v>
      </c>
      <c r="J34">
        <f>G28/F28*N28/(N29*(1-N28))</f>
        <v>0.84576380458333966</v>
      </c>
      <c r="S34" t="s">
        <v>214</v>
      </c>
      <c r="AD34" s="324"/>
      <c r="AW34" s="332"/>
      <c r="AZ34" t="s">
        <v>215</v>
      </c>
      <c r="BP34" s="325"/>
    </row>
    <row r="35" spans="6:68" ht="15" thickBot="1">
      <c r="F35" s="261">
        <f t="shared" ref="F35:F36" si="2">F29*G29/(1-F29)</f>
        <v>7.0588235294117646E-2</v>
      </c>
      <c r="G35" s="11">
        <f t="shared" ref="G35:G36" si="3">G29*F29/(1-G29)</f>
        <v>0.1</v>
      </c>
      <c r="H35" s="7">
        <f t="shared" ref="H35:H36" si="4">F35+G35</f>
        <v>0.17058823529411765</v>
      </c>
      <c r="I35">
        <f>(M29-M30)/(M29+M30)</f>
        <v>0.77902621722846443</v>
      </c>
      <c r="J35">
        <f>G29/F29*N29/(N30*(1-N29))</f>
        <v>6.3345079191304308</v>
      </c>
      <c r="S35" t="s">
        <v>216</v>
      </c>
      <c r="AD35" s="324"/>
      <c r="AW35" s="332"/>
      <c r="AZ35" t="s">
        <v>217</v>
      </c>
      <c r="BN35" t="s">
        <v>218</v>
      </c>
      <c r="BP35" s="325"/>
    </row>
    <row r="36" spans="6:68" ht="15.5" thickTop="1" thickBot="1">
      <c r="F36" s="261">
        <f t="shared" si="2"/>
        <v>0.30000000000000004</v>
      </c>
      <c r="G36" s="11">
        <f t="shared" si="3"/>
        <v>0.32727272727272727</v>
      </c>
      <c r="H36" s="7">
        <f t="shared" si="4"/>
        <v>0.62727272727272732</v>
      </c>
      <c r="I36">
        <f>(M28-M30)/(M28+M30)</f>
        <v>0.90985485103132169</v>
      </c>
      <c r="S36" t="s">
        <v>219</v>
      </c>
      <c r="AD36" s="324"/>
      <c r="AE36" t="s">
        <v>199</v>
      </c>
      <c r="AI36" s="308">
        <f>MIN(AI16,AI24,AI32)</f>
        <v>0.64805193936620697</v>
      </c>
      <c r="AJ36" s="29"/>
      <c r="AK36" s="29"/>
      <c r="AL36" s="29" t="s">
        <v>176</v>
      </c>
      <c r="AM36" s="29"/>
      <c r="AN36" s="29"/>
      <c r="AQ36" s="310">
        <f>MIN(AQ16,AQ24,AQ32)</f>
        <v>0.60586319218241047</v>
      </c>
      <c r="AR36" s="29"/>
      <c r="AS36" s="29"/>
      <c r="AT36" s="29" t="s">
        <v>177</v>
      </c>
      <c r="AU36" s="29"/>
      <c r="AV36" s="29"/>
      <c r="AW36" s="332"/>
      <c r="AZ36" t="s">
        <v>220</v>
      </c>
      <c r="BP36" s="325"/>
    </row>
    <row r="37" spans="6:68" ht="15" thickTop="1">
      <c r="G37" s="21" t="s">
        <v>221</v>
      </c>
      <c r="H37" s="11">
        <f>SUM(H34:H36)</f>
        <v>1</v>
      </c>
      <c r="S37" t="s">
        <v>222</v>
      </c>
      <c r="AD37" s="324"/>
      <c r="AW37" s="332"/>
      <c r="BP37" s="325"/>
    </row>
    <row r="38" spans="6:68">
      <c r="S38" t="s">
        <v>223</v>
      </c>
      <c r="AD38" s="324"/>
      <c r="AW38" s="332"/>
      <c r="BP38" s="325"/>
    </row>
    <row r="39" spans="6:68" ht="15" thickBot="1">
      <c r="AA39" s="29"/>
      <c r="AD39" s="328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  <c r="AV39" s="329"/>
      <c r="AW39" s="334"/>
      <c r="AX39" s="329"/>
      <c r="AY39" s="329"/>
      <c r="AZ39" s="329"/>
      <c r="BA39" s="329"/>
      <c r="BB39" s="329"/>
      <c r="BC39" s="329"/>
      <c r="BD39" s="329"/>
      <c r="BE39" s="329"/>
      <c r="BF39" s="329"/>
      <c r="BG39" s="329"/>
      <c r="BH39" s="329"/>
      <c r="BI39" s="329"/>
      <c r="BJ39" s="329"/>
      <c r="BK39" s="329"/>
      <c r="BL39" s="329"/>
      <c r="BM39" s="329"/>
      <c r="BN39" s="329"/>
      <c r="BO39" s="329"/>
      <c r="BP39" s="330"/>
    </row>
    <row r="40" spans="6:68">
      <c r="AB40" s="7" t="s">
        <v>224</v>
      </c>
      <c r="AC40" s="11" t="s">
        <v>76</v>
      </c>
    </row>
    <row r="41" spans="6:68">
      <c r="U41" s="252"/>
      <c r="AB41" s="253"/>
      <c r="AC41" s="254">
        <v>1.5</v>
      </c>
    </row>
    <row r="42" spans="6:68" ht="15" thickBot="1">
      <c r="U42" s="10"/>
      <c r="AB42" s="32" t="s">
        <v>8</v>
      </c>
      <c r="AC42" s="255">
        <v>1</v>
      </c>
    </row>
    <row r="43" spans="6:68" ht="15" thickBot="1">
      <c r="F43" s="29" t="s">
        <v>225</v>
      </c>
      <c r="G43" s="29" t="s">
        <v>226</v>
      </c>
      <c r="H43" s="29" t="s">
        <v>227</v>
      </c>
      <c r="I43" s="29" t="s">
        <v>71</v>
      </c>
      <c r="J43" t="s">
        <v>228</v>
      </c>
      <c r="K43" t="s">
        <v>229</v>
      </c>
      <c r="L43" t="s">
        <v>196</v>
      </c>
      <c r="M43" t="s">
        <v>196</v>
      </c>
      <c r="N43" s="252" t="s">
        <v>164</v>
      </c>
      <c r="O43" s="7" t="s">
        <v>134</v>
      </c>
      <c r="P43" s="258" t="s">
        <v>197</v>
      </c>
      <c r="AB43" s="32" t="s">
        <v>9</v>
      </c>
      <c r="AC43" s="255">
        <v>0.75</v>
      </c>
      <c r="AD43" s="121">
        <v>19</v>
      </c>
    </row>
    <row r="44" spans="6:68" ht="15" thickBot="1">
      <c r="F44">
        <f>1-(H44/G44)</f>
        <v>0.73110634319444667</v>
      </c>
      <c r="G44">
        <f>(1+I44)^4</f>
        <v>20.494125285730188</v>
      </c>
      <c r="H44">
        <f>1+4*I44</f>
        <v>5.5107402911111452</v>
      </c>
      <c r="I44">
        <f>L45*O44/(L44*O45*(1-O44))</f>
        <v>1.1276850727777863</v>
      </c>
      <c r="J44" s="1">
        <f>L44/L45</f>
        <v>2.25</v>
      </c>
      <c r="K44">
        <f>(N44-N45)/(N44+N45)</f>
        <v>0.44927536231884058</v>
      </c>
      <c r="L44" s="257">
        <f>M44/(M44+M45)</f>
        <v>0.69230769230769229</v>
      </c>
      <c r="M44" s="50">
        <v>0.45</v>
      </c>
      <c r="N44" s="252">
        <v>25</v>
      </c>
      <c r="O44" s="250">
        <v>0.60990162876955345</v>
      </c>
      <c r="P44" s="259" t="s">
        <v>94</v>
      </c>
      <c r="AB44" s="32" t="s">
        <v>10</v>
      </c>
      <c r="AC44" s="255">
        <v>0.5</v>
      </c>
      <c r="AD44" s="121">
        <v>12.5</v>
      </c>
    </row>
    <row r="45" spans="6:68" ht="15" thickBot="1">
      <c r="L45" s="88">
        <f>M45/(M44+M45)</f>
        <v>0.30769230769230771</v>
      </c>
      <c r="M45" s="50">
        <v>0.2</v>
      </c>
      <c r="N45" s="29">
        <v>9.5</v>
      </c>
      <c r="O45" s="251">
        <v>0.61619093694565397</v>
      </c>
      <c r="P45" s="260" t="s">
        <v>0</v>
      </c>
      <c r="AB45" s="32" t="s">
        <v>0</v>
      </c>
      <c r="AC45" s="121">
        <f>3/8</f>
        <v>0.375</v>
      </c>
      <c r="AD45" s="121">
        <v>9.5</v>
      </c>
    </row>
    <row r="46" spans="6:68" ht="15" thickBot="1">
      <c r="L46" s="88"/>
      <c r="M46" s="50">
        <v>0.35</v>
      </c>
      <c r="N46" s="29">
        <v>1.18</v>
      </c>
      <c r="O46" s="251">
        <v>0.67585873246250616</v>
      </c>
      <c r="P46" s="260" t="s">
        <v>95</v>
      </c>
      <c r="AB46" s="256" t="s">
        <v>11</v>
      </c>
      <c r="AC46">
        <f t="shared" ref="AC46:AC51" si="5">AD46/25.4</f>
        <v>0.18700787401574803</v>
      </c>
      <c r="AD46" s="121">
        <v>4.75</v>
      </c>
    </row>
    <row r="47" spans="6:68">
      <c r="L47" s="122">
        <f>SUM(L44:L45)</f>
        <v>1</v>
      </c>
      <c r="M47" s="50">
        <f>SUM(M44:M46)</f>
        <v>1</v>
      </c>
      <c r="O47" s="29"/>
      <c r="AB47" s="32" t="s">
        <v>12</v>
      </c>
      <c r="AC47">
        <f t="shared" si="5"/>
        <v>9.2913385826771652E-2</v>
      </c>
      <c r="AD47" s="121">
        <v>2.36</v>
      </c>
    </row>
    <row r="48" spans="6:68" ht="15" thickBot="1">
      <c r="AB48" s="32" t="s">
        <v>13</v>
      </c>
      <c r="AC48">
        <f t="shared" si="5"/>
        <v>4.6456692913385826E-2</v>
      </c>
      <c r="AD48" s="121">
        <v>1.18</v>
      </c>
    </row>
    <row r="49" spans="6:30">
      <c r="L49" s="262" t="s">
        <v>230</v>
      </c>
      <c r="M49" s="263" t="s">
        <v>231</v>
      </c>
      <c r="N49" s="264" t="s">
        <v>232</v>
      </c>
      <c r="O49" s="265" t="s">
        <v>233</v>
      </c>
      <c r="AB49" s="32" t="s">
        <v>14</v>
      </c>
      <c r="AC49">
        <f t="shared" si="5"/>
        <v>2.3622047244094488E-2</v>
      </c>
      <c r="AD49" s="121">
        <v>0.6</v>
      </c>
    </row>
    <row r="50" spans="6:30" ht="15" thickBot="1">
      <c r="L50" s="266">
        <f>1/(O50+N50-M50)</f>
        <v>0.67158635679454437</v>
      </c>
      <c r="M50" s="267">
        <f>((1/O44)-1)*L44*K44*F44</f>
        <v>0.14544763234174285</v>
      </c>
      <c r="N50" s="267">
        <f>L44/O44</f>
        <v>1.1351136964569009</v>
      </c>
      <c r="O50" s="268">
        <f>L45/O45</f>
        <v>0.499345721015441</v>
      </c>
      <c r="AB50" s="32" t="s">
        <v>15</v>
      </c>
      <c r="AC50">
        <f t="shared" si="5"/>
        <v>1.1811023622047244E-2</v>
      </c>
      <c r="AD50" s="121">
        <v>0.3</v>
      </c>
    </row>
    <row r="51" spans="6:30">
      <c r="AB51" s="33" t="s">
        <v>16</v>
      </c>
      <c r="AC51" s="118">
        <f t="shared" si="5"/>
        <v>5.905511811023622E-3</v>
      </c>
      <c r="AD51" s="23">
        <v>0.15</v>
      </c>
    </row>
    <row r="52" spans="6:30" ht="15" thickBot="1"/>
    <row r="53" spans="6:30" ht="15" thickBot="1">
      <c r="F53" s="29" t="s">
        <v>225</v>
      </c>
      <c r="G53" s="29" t="s">
        <v>226</v>
      </c>
      <c r="H53" s="29" t="s">
        <v>227</v>
      </c>
      <c r="I53" s="29" t="s">
        <v>71</v>
      </c>
      <c r="J53" t="s">
        <v>228</v>
      </c>
      <c r="K53" t="s">
        <v>229</v>
      </c>
      <c r="L53" t="s">
        <v>196</v>
      </c>
      <c r="M53" t="s">
        <v>196</v>
      </c>
      <c r="N53" t="s">
        <v>234</v>
      </c>
      <c r="O53" s="252" t="s">
        <v>164</v>
      </c>
      <c r="P53" s="7" t="s">
        <v>134</v>
      </c>
      <c r="Q53" s="258" t="s">
        <v>197</v>
      </c>
    </row>
    <row r="54" spans="6:30" ht="15" thickBot="1">
      <c r="L54" s="257"/>
      <c r="M54" s="50">
        <v>0.45</v>
      </c>
      <c r="O54" s="252">
        <v>25</v>
      </c>
      <c r="P54" s="250">
        <v>0.60990162876955345</v>
      </c>
      <c r="Q54" s="259" t="s">
        <v>94</v>
      </c>
    </row>
    <row r="55" spans="6:30" ht="15" thickBot="1">
      <c r="F55">
        <f>1-(H55/G55)</f>
        <v>0.97507646992897068</v>
      </c>
      <c r="G55">
        <f>(1+I55)^4</f>
        <v>707.28677829662468</v>
      </c>
      <c r="H55">
        <f>1+4*I55</f>
        <v>17.628083287717374</v>
      </c>
      <c r="I55">
        <f>M56/M55*P55/P56/(1-P55)</f>
        <v>4.1570208219293434</v>
      </c>
      <c r="J55" s="1">
        <f>M56/M55</f>
        <v>1.7499999999999998</v>
      </c>
      <c r="K55">
        <f>(O55-O56)/(O55+O56)</f>
        <v>0.77902621722846443</v>
      </c>
      <c r="L55" s="88">
        <f>M55/(M55+M56)</f>
        <v>0.36363636363636365</v>
      </c>
      <c r="M55" s="50">
        <v>0.2</v>
      </c>
      <c r="N55">
        <v>15</v>
      </c>
      <c r="O55" s="29">
        <v>9.5</v>
      </c>
      <c r="P55" s="251">
        <v>0.61619093694565397</v>
      </c>
      <c r="Q55" s="260" t="s">
        <v>0</v>
      </c>
    </row>
    <row r="56" spans="6:30" ht="15" thickBot="1">
      <c r="L56" s="88">
        <f>M56/(M55+M56)</f>
        <v>0.63636363636363624</v>
      </c>
      <c r="M56" s="50">
        <v>0.35</v>
      </c>
      <c r="N56">
        <v>1.18</v>
      </c>
      <c r="O56" s="29">
        <v>1.18</v>
      </c>
      <c r="P56" s="251">
        <v>0.67585873246250616</v>
      </c>
      <c r="Q56" s="260" t="s">
        <v>95</v>
      </c>
    </row>
    <row r="57" spans="6:30">
      <c r="L57" s="122">
        <f>SUM(L55:L56)</f>
        <v>0.99999999999999989</v>
      </c>
      <c r="M57" s="50">
        <f>SUM(M54:M56)</f>
        <v>1</v>
      </c>
      <c r="O57" s="29"/>
    </row>
    <row r="58" spans="6:30" ht="15" thickBot="1"/>
    <row r="59" spans="6:30">
      <c r="L59" s="311" t="s">
        <v>230</v>
      </c>
      <c r="M59" s="263" t="s">
        <v>231</v>
      </c>
      <c r="N59" s="264" t="s">
        <v>232</v>
      </c>
      <c r="O59" s="265" t="s">
        <v>233</v>
      </c>
    </row>
    <row r="60" spans="6:30" ht="15" thickBot="1">
      <c r="L60" s="312">
        <f>1/(O60+N60-M60)</f>
        <v>0.69585997676124411</v>
      </c>
      <c r="M60" s="267">
        <f>((1/P55)-1)*M55*K55*F55</f>
        <v>9.4628218719071247E-2</v>
      </c>
      <c r="N60" s="267">
        <f>L55/P55</f>
        <v>0.59013585210915753</v>
      </c>
      <c r="O60" s="268">
        <f>L56/P56</f>
        <v>0.94156308973774938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Sieve AnalysisRTT</vt:lpstr>
      <vt:lpstr>Mix Design</vt:lpstr>
      <vt:lpstr>Sheet5</vt:lpstr>
      <vt:lpstr>Sheet3</vt:lpstr>
      <vt:lpstr>Sheet4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Yashin, S. M.</cp:lastModifiedBy>
  <cp:revision/>
  <cp:lastPrinted>2023-08-22T20:02:05Z</cp:lastPrinted>
  <dcterms:created xsi:type="dcterms:W3CDTF">2011-05-20T00:14:59Z</dcterms:created>
  <dcterms:modified xsi:type="dcterms:W3CDTF">2026-04-06T23:37:35Z</dcterms:modified>
  <cp:category/>
  <cp:contentStatus/>
</cp:coreProperties>
</file>